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ds606\Desktop\Vietnam-Merged-Model\Course\"/>
    </mc:Choice>
  </mc:AlternateContent>
  <xr:revisionPtr revIDLastSave="0" documentId="8_{93B760A8-167C-4F42-8563-84586BAF5D7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inal_Estimates" sheetId="1" r:id="rId1"/>
    <sheet name="Also 2025 data" sheetId="4" r:id="rId2"/>
    <sheet name="Method_Notes" sheetId="2" r:id="rId3"/>
    <sheet name="Source_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4" l="1"/>
  <c r="F36" i="4" s="1"/>
  <c r="E36" i="4" s="1"/>
  <c r="D36" i="4" s="1"/>
  <c r="G27" i="4"/>
  <c r="F27" i="4"/>
  <c r="E27" i="4"/>
  <c r="D27" i="4"/>
  <c r="G3" i="4"/>
  <c r="F3" i="4"/>
  <c r="E3" i="4"/>
  <c r="D3" i="4"/>
  <c r="E13" i="1"/>
  <c r="E14" i="1"/>
  <c r="E15" i="1"/>
  <c r="E16" i="1"/>
  <c r="E17" i="1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D17" i="1"/>
  <c r="D16" i="1"/>
  <c r="D15" i="1"/>
  <c r="D14" i="1"/>
  <c r="D13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</calcChain>
</file>

<file path=xl/sharedStrings.xml><?xml version="1.0" encoding="utf-8"?>
<sst xmlns="http://schemas.openxmlformats.org/spreadsheetml/2006/main" count="121" uniqueCount="103">
  <si>
    <t>Final estimates: Government domestic financing and investment income payments, 2021-2025</t>
  </si>
  <si>
    <t>1. Government net domestic financing split (VND trillion)</t>
  </si>
  <si>
    <t>Year</t>
  </si>
  <si>
    <t>Total domestic financing</t>
  </si>
  <si>
    <t>Banking system</t>
  </si>
  <si>
    <t>2. Foreign investment payments split (USD billion)</t>
  </si>
  <si>
    <t>Foreign investment payments</t>
  </si>
  <si>
    <t>Foreign interest payments</t>
  </si>
  <si>
    <t>Dividends on FDI</t>
  </si>
  <si>
    <t>Check: interest + dividends</t>
  </si>
  <si>
    <t>Key interpretation</t>
  </si>
  <si>
    <t>Government split</t>
  </si>
  <si>
    <t>Baseline estimate uses smoothed bank/non-bank holder shares as a proxy to distribute total IMF domestic financing.</t>
  </si>
  <si>
    <t>Investment income split</t>
  </si>
  <si>
    <t>Investment income payments are taken from IMF Article IV; dividends on FDI are calculated as the residual after foreign interest payments.</t>
  </si>
  <si>
    <t>Caveat</t>
  </si>
  <si>
    <t>Bank/non-bank split is stock-based proxy, not actual flow data by investor group.</t>
  </si>
  <si>
    <t>Method and assumptions</t>
  </si>
  <si>
    <t>Item</t>
  </si>
  <si>
    <t>Final approach</t>
  </si>
  <si>
    <t>Rationale</t>
  </si>
  <si>
    <t>Important caveat</t>
  </si>
  <si>
    <t>Government net domestic financing</t>
  </si>
  <si>
    <t>Total domestic financing is taken from IMF Article IV Table 4. Banking and non-bank sources are estimated by applying yearly bank/non-bank shares.</t>
  </si>
  <si>
    <t>This keeps the IMF aggregate as the control total while reflecting the market trend of declining bank holdings of government bonds.</t>
  </si>
  <si>
    <t>AsianBonds/VBMA holder shares are stock shares, not direct flow data.</t>
  </si>
  <si>
    <t>Bank share assumption</t>
  </si>
  <si>
    <t>2021: 41.7%; 2022: 40.5%; 2023: 39.6%; 2024: 38.7%; 2025: 37.8%.</t>
  </si>
  <si>
    <t>The shares are smoothed to avoid over-interpreting point-in-time holder shares while preserving recent trend.</t>
  </si>
  <si>
    <t>Use as a baseline proxy estimate only.</t>
  </si>
  <si>
    <t>Investment income payments are taken from IMF Article IV Table 3. For 2025, the IMF value is 25.2 USD billion.</t>
  </si>
  <si>
    <t>This directly matches the IMF balance of payments presentation.</t>
  </si>
  <si>
    <t>Rounded to one decimal place in the final table.</t>
  </si>
  <si>
    <t>Interest payments are kept as the working estimate series: 2.0, 2.9, 5.7, 4.8, 4.8 USD billion.</t>
  </si>
  <si>
    <t>This separates debt-related investment income from equity income. Dividends on FDI are the residual.</t>
  </si>
  <si>
    <t>Residual includes rounding differences and any other equity income items captured in the aggregate.</t>
  </si>
  <si>
    <t>Source data and formulas</t>
  </si>
  <si>
    <t>IMF total domestic financing</t>
  </si>
  <si>
    <t>Bank share used</t>
  </si>
  <si>
    <t>Banking system formula</t>
  </si>
  <si>
    <t>Non-bank share formula</t>
  </si>
  <si>
    <t>Non-bank sources formula</t>
  </si>
  <si>
    <t>Investment income payments</t>
  </si>
  <si>
    <t>Source</t>
  </si>
  <si>
    <t>Use in workbook</t>
  </si>
  <si>
    <t>URL</t>
  </si>
  <si>
    <t>Note</t>
  </si>
  <si>
    <t>IMF Article IV 2025, Vietnam</t>
  </si>
  <si>
    <t>Total government domestic financing; investment income payments</t>
  </si>
  <si>
    <t>https://www.imf.org/-/media/files/publications/cr/2025/english/1vnmea2025001-source-pdf.pdf</t>
  </si>
  <si>
    <t>Use Table 4 for financing and Table 3 for investment income payments.</t>
  </si>
  <si>
    <t>AsianBondsOnline / ADB Vietnam market summaries</t>
  </si>
  <si>
    <t>Bank/non-bank government bond holder shares</t>
  </si>
  <si>
    <t>https://asianbondsonline.adb.org/vietnam/market_summary/</t>
  </si>
  <si>
    <t>Used as proxy for yearly banking/non-bank split; stock-based, not flow-based.</t>
  </si>
  <si>
    <t>VBMA Annual Report / bond market data</t>
  </si>
  <si>
    <t>Cross-check of holder shares in earlier years</t>
  </si>
  <si>
    <t>https://vbma.org.vn/</t>
  </si>
  <si>
    <t>Used only as supporting market-source cross-check.</t>
  </si>
  <si>
    <t>Banking system share</t>
  </si>
  <si>
    <t>Non-bank public</t>
  </si>
  <si>
    <t>Non-bank public share</t>
  </si>
  <si>
    <t>Public debt stock split between domestic and foreign debt</t>
  </si>
  <si>
    <t>Public Debt Stock</t>
  </si>
  <si>
    <t>% of GDP</t>
  </si>
  <si>
    <t>Public debt bulletin</t>
  </si>
  <si>
    <t xml:space="preserve">   Domestic</t>
  </si>
  <si>
    <t>Combined from Public Debt Bulletin</t>
  </si>
  <si>
    <t xml:space="preserve">   Foreign</t>
  </si>
  <si>
    <t>External Debt</t>
  </si>
  <si>
    <t>Government net domestic financing split between banking system and non-bank sources</t>
  </si>
  <si>
    <t xml:space="preserve">Insurance companies and banks collectively held 99.5% of outstanding government bonds at the end of March. </t>
  </si>
  <si>
    <t>Insurance companies' share increased to 60.8% in March 2024 from 57.8% a year earlier,</t>
  </si>
  <si>
    <t>Govt net domestic debt change</t>
  </si>
  <si>
    <t>tn VND</t>
  </si>
  <si>
    <t>Banks' holdings share decreased to 38.7% from 41.7% during the same period.</t>
  </si>
  <si>
    <t xml:space="preserve">   Banking System (Domestic Credit)</t>
  </si>
  <si>
    <t>https://asianbondsonline.adb.org/vietnam/market_summary/vn_market_summary_202409.pdf</t>
  </si>
  <si>
    <t xml:space="preserve">   Non-bank public</t>
  </si>
  <si>
    <t>Note: The Government's domestic borrowing was conducted primarily through bond issuance.</t>
  </si>
  <si>
    <t>Public net on-lending split between ODA-financed and domestically financed</t>
  </si>
  <si>
    <t>Public net onlending</t>
  </si>
  <si>
    <t>Bil. VND</t>
  </si>
  <si>
    <t>44,449 </t>
  </si>
  <si>
    <t> 26,697</t>
  </si>
  <si>
    <t> 23,394</t>
  </si>
  <si>
    <t> 16,123 </t>
  </si>
  <si>
    <t> 10,996  </t>
  </si>
  <si>
    <t xml:space="preserve">   ODA Financed</t>
  </si>
  <si>
    <t xml:space="preserve">   Domestically Financed</t>
  </si>
  <si>
    <t>Source: Annual plan on public debt borrowing and payment</t>
  </si>
  <si>
    <t xml:space="preserve">Eg. https://thuvienphapluat.vn/van-ban/Tai-chinh-nha-nuoc/Quyet-dinh-260-QD-TTg-2024-phe-duyet-Ke-hoach-vay-tra-no-cong-604610.aspx </t>
  </si>
  <si>
    <t>Interest payments or interest rates on government and private foreign debt</t>
  </si>
  <si>
    <t>Government Foreign Interest Rate</t>
  </si>
  <si>
    <t xml:space="preserve">Private Foreign Interest Rate </t>
  </si>
  <si>
    <t>Foreign Interest Payments (mil. USD)</t>
  </si>
  <si>
    <t xml:space="preserve">   Government</t>
  </si>
  <si>
    <t xml:space="preserve">   Private</t>
  </si>
  <si>
    <t>Foreign investment payments split into foreign interest payments and dividends on FDI</t>
  </si>
  <si>
    <t>Foreign Investment Payments</t>
  </si>
  <si>
    <t>bn USD</t>
  </si>
  <si>
    <t xml:space="preserve">   Foreign Interest Payments</t>
  </si>
  <si>
    <t xml:space="preserve">   Dividends on 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</si>
</sst>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.0"/>
    <numFmt numFmtId="168" formatCode="0.000"/>
  </numFmts>
  <fonts count="13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name val="Carlito"/>
    </font>
    <font>
      <sz val="11"/>
      <name val="Carlito"/>
    </font>
    <font>
      <b/>
      <sz val="10"/>
      <color rgb="FF000000"/>
      <name val="Verdana"/>
      <family val="2"/>
    </font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8"/>
      <name val="Courier"/>
      <family val="3"/>
    </font>
    <font>
      <sz val="8"/>
      <name val="Courie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8" fillId="0" borderId="12"/>
  </cellStyleXfs>
  <cellXfs count="45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3" fillId="6" borderId="0" xfId="0" applyFont="1" applyFill="1" applyAlignment="1">
      <alignment horizontal="center" vertical="center" wrapText="1"/>
    </xf>
    <xf numFmtId="0" fontId="5" fillId="7" borderId="1" xfId="0" applyFont="1" applyFill="1" applyBorder="1"/>
    <xf numFmtId="0" fontId="0" fillId="0" borderId="1" xfId="0" applyBorder="1" applyAlignment="1">
      <alignment wrapText="1"/>
    </xf>
    <xf numFmtId="0" fontId="5" fillId="7" borderId="2" xfId="0" applyFont="1" applyFill="1" applyBorder="1"/>
    <xf numFmtId="0" fontId="0" fillId="0" borderId="2" xfId="0" applyBorder="1" applyAlignment="1">
      <alignment wrapText="1"/>
    </xf>
    <xf numFmtId="0" fontId="5" fillId="7" borderId="3" xfId="0" applyFont="1" applyFill="1" applyBorder="1"/>
    <xf numFmtId="0" fontId="0" fillId="0" borderId="3" xfId="0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7" fillId="0" borderId="0" xfId="0" applyFont="1"/>
    <xf numFmtId="0" fontId="9" fillId="0" borderId="12" xfId="2" applyFont="1"/>
    <xf numFmtId="0" fontId="10" fillId="8" borderId="12" xfId="2" applyFont="1" applyFill="1"/>
    <xf numFmtId="166" fontId="9" fillId="9" borderId="12" xfId="2" applyNumberFormat="1" applyFont="1" applyFill="1"/>
    <xf numFmtId="0" fontId="11" fillId="0" borderId="12" xfId="2" applyFont="1"/>
    <xf numFmtId="0" fontId="9" fillId="10" borderId="12" xfId="2" applyFont="1" applyFill="1"/>
    <xf numFmtId="166" fontId="9" fillId="10" borderId="12" xfId="2" applyNumberFormat="1" applyFont="1" applyFill="1"/>
    <xf numFmtId="166" fontId="0" fillId="9" borderId="0" xfId="0" applyNumberFormat="1" applyFill="1"/>
    <xf numFmtId="0" fontId="12" fillId="11" borderId="12" xfId="2" applyFont="1" applyFill="1"/>
    <xf numFmtId="3" fontId="12" fillId="11" borderId="12" xfId="2" applyNumberFormat="1" applyFont="1" applyFill="1"/>
    <xf numFmtId="3" fontId="12" fillId="11" borderId="12" xfId="2" applyNumberFormat="1" applyFont="1" applyFill="1" applyAlignment="1">
      <alignment horizontal="right"/>
    </xf>
    <xf numFmtId="43" fontId="0" fillId="0" borderId="0" xfId="1" applyFont="1"/>
    <xf numFmtId="0" fontId="9" fillId="12" borderId="12" xfId="2" applyFont="1" applyFill="1"/>
    <xf numFmtId="168" fontId="9" fillId="12" borderId="12" xfId="2" applyNumberFormat="1" applyFont="1" applyFill="1"/>
    <xf numFmtId="43" fontId="9" fillId="12" borderId="0" xfId="1" applyFont="1" applyFill="1"/>
    <xf numFmtId="0" fontId="0" fillId="13" borderId="0" xfId="0" applyFill="1"/>
  </cellXfs>
  <cellStyles count="3">
    <cellStyle name="Comma" xfId="1" builtinId="3"/>
    <cellStyle name="Normal" xfId="0" builtinId="0"/>
    <cellStyle name="Normal_SAMframework" xfId="2" xr:uid="{7DE7C6FC-4037-40BF-842E-A4F88EBB7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502920</xdr:colOff>
      <xdr:row>14</xdr:row>
      <xdr:rowOff>121920</xdr:rowOff>
    </xdr:from>
    <xdr:to>
      <xdr:col>18</xdr:col>
      <xdr:colOff>436789</xdr:colOff>
      <xdr:row>28</xdr:row>
      <xdr:rowOff>58420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E00D2-F66C-4B44-9A01-827A949F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970" y="2700020"/>
          <a:ext cx="3896269" cy="2355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vtDomesticFinancing" displayName="GovtDomesticFinancing" ref="A4:F9">
  <tableColumns count="6">
    <tableColumn id="1" xr3:uid="{00000000-0010-0000-0000-000001000000}" name="Year"/>
    <tableColumn id="2" xr3:uid="{00000000-0010-0000-0000-000002000000}" name="Total domestic financing"/>
    <tableColumn id="3" xr3:uid="{00000000-0010-0000-0000-000003000000}" name="Banking system share"/>
    <tableColumn id="4" xr3:uid="{00000000-0010-0000-0000-000004000000}" name="Banking system"/>
    <tableColumn id="5" xr3:uid="{00000000-0010-0000-0000-000005000000}" name="Non-bank public share"/>
    <tableColumn id="6" xr3:uid="{00000000-0010-0000-0000-000006000000}" name="Non-bank publi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ignInvestmentPayments" displayName="ForeignInvestmentPayments" ref="A12:E17">
  <tableColumns count="5">
    <tableColumn id="1" xr3:uid="{00000000-0010-0000-0100-000001000000}" name="Year"/>
    <tableColumn id="2" xr3:uid="{00000000-0010-0000-0100-000002000000}" name="Foreign investment payments"/>
    <tableColumn id="3" xr3:uid="{00000000-0010-0000-0100-000003000000}" name="Foreign interest payments"/>
    <tableColumn id="4" xr3:uid="{00000000-0010-0000-0100-000004000000}" name="Dividends on FDI"/>
    <tableColumn id="5" xr3:uid="{00000000-0010-0000-0100-000005000000}" name="Check: interest + dividen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DataAndFormulas" displayName="SourceDataAndFormulas" ref="A3:H8">
  <tableColumns count="8">
    <tableColumn id="1" xr3:uid="{00000000-0010-0000-0200-000001000000}" name="Year"/>
    <tableColumn id="2" xr3:uid="{00000000-0010-0000-0200-000002000000}" name="IMF total domestic financing"/>
    <tableColumn id="3" xr3:uid="{00000000-0010-0000-0200-000003000000}" name="Bank share used"/>
    <tableColumn id="4" xr3:uid="{00000000-0010-0000-0200-000004000000}" name="Banking system formula"/>
    <tableColumn id="5" xr3:uid="{00000000-0010-0000-0200-000005000000}" name="Non-bank share formula"/>
    <tableColumn id="6" xr3:uid="{00000000-0010-0000-0200-000006000000}" name="Non-bank sources formula"/>
    <tableColumn id="7" xr3:uid="{00000000-0010-0000-0200-000007000000}" name="Investment income payments"/>
    <tableColumn id="8" xr3:uid="{00000000-0010-0000-0200-000008000000}" name="Foreign interest pay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A5" workbookViewId="0">
      <selection activeCell="R12" sqref="R12"/>
    </sheetView>
  </sheetViews>
  <sheetFormatPr defaultRowHeight="14"/>
  <cols>
    <col min="1" max="1" width="11" customWidth="1"/>
    <col min="2" max="2" width="24" customWidth="1"/>
    <col min="3" max="3" width="14" customWidth="1"/>
    <col min="4" max="4" width="18" customWidth="1"/>
    <col min="5" max="5" width="16" customWidth="1"/>
    <col min="6" max="6" width="20" customWidth="1"/>
    <col min="7" max="8" width="12" customWidth="1"/>
  </cols>
  <sheetData>
    <row r="1" spans="1:8" ht="20.9" customHeight="1">
      <c r="A1" s="26" t="s">
        <v>0</v>
      </c>
      <c r="B1" s="25"/>
      <c r="C1" s="25"/>
      <c r="D1" s="25"/>
      <c r="E1" s="25"/>
      <c r="F1" s="25"/>
      <c r="G1" s="25"/>
      <c r="H1" s="25"/>
    </row>
    <row r="3" spans="1:8">
      <c r="A3" s="27" t="s">
        <v>1</v>
      </c>
      <c r="B3" s="25"/>
      <c r="C3" s="25"/>
      <c r="D3" s="25"/>
      <c r="E3" s="25"/>
      <c r="F3" s="25"/>
    </row>
    <row r="4" spans="1:8" ht="25.75" customHeight="1">
      <c r="A4" s="2" t="s">
        <v>2</v>
      </c>
      <c r="B4" s="2" t="s">
        <v>3</v>
      </c>
      <c r="C4" s="2" t="s">
        <v>59</v>
      </c>
      <c r="D4" s="2" t="s">
        <v>4</v>
      </c>
      <c r="E4" s="2" t="s">
        <v>61</v>
      </c>
      <c r="F4" s="2" t="s">
        <v>60</v>
      </c>
    </row>
    <row r="5" spans="1:8">
      <c r="A5">
        <v>2021</v>
      </c>
      <c r="B5" s="3">
        <v>110.3</v>
      </c>
      <c r="C5" s="4">
        <v>0.41699999999999998</v>
      </c>
      <c r="D5" s="3">
        <f>B5*C5</f>
        <v>45.995099999999994</v>
      </c>
      <c r="E5" s="4">
        <f>1-C5</f>
        <v>0.58299999999999996</v>
      </c>
      <c r="F5" s="3">
        <f>B5*E5</f>
        <v>64.304899999999989</v>
      </c>
    </row>
    <row r="6" spans="1:8">
      <c r="A6">
        <v>2022</v>
      </c>
      <c r="B6" s="3">
        <v>153.9</v>
      </c>
      <c r="C6" s="4">
        <v>0.40500000000000003</v>
      </c>
      <c r="D6" s="3">
        <f>B6*C6</f>
        <v>62.329500000000003</v>
      </c>
      <c r="E6" s="4">
        <f>1-C6</f>
        <v>0.59499999999999997</v>
      </c>
      <c r="F6" s="3">
        <f>B6*E6</f>
        <v>91.570499999999996</v>
      </c>
    </row>
    <row r="7" spans="1:8">
      <c r="A7">
        <v>2023</v>
      </c>
      <c r="B7" s="3">
        <v>206.4</v>
      </c>
      <c r="C7" s="4">
        <v>0.39600000000000002</v>
      </c>
      <c r="D7" s="3">
        <f>B7*C7</f>
        <v>81.734400000000008</v>
      </c>
      <c r="E7" s="4">
        <f>1-C7</f>
        <v>0.60399999999999998</v>
      </c>
      <c r="F7" s="3">
        <f>B7*E7</f>
        <v>124.6656</v>
      </c>
    </row>
    <row r="8" spans="1:8">
      <c r="A8">
        <v>2024</v>
      </c>
      <c r="B8" s="3">
        <v>172.7</v>
      </c>
      <c r="C8" s="4">
        <v>0.38700000000000001</v>
      </c>
      <c r="D8" s="3">
        <f>B8*C8</f>
        <v>66.83489999999999</v>
      </c>
      <c r="E8" s="4">
        <f>1-C8</f>
        <v>0.61299999999999999</v>
      </c>
      <c r="F8" s="3">
        <f>B8*E8</f>
        <v>105.8651</v>
      </c>
    </row>
    <row r="9" spans="1:8">
      <c r="A9">
        <v>2025</v>
      </c>
      <c r="B9" s="3">
        <v>379.9</v>
      </c>
      <c r="C9" s="4">
        <v>0.378</v>
      </c>
      <c r="D9" s="3">
        <f>B9*C9</f>
        <v>143.60219999999998</v>
      </c>
      <c r="E9" s="4">
        <f>1-C9</f>
        <v>0.622</v>
      </c>
      <c r="F9" s="3">
        <f>B9*E9</f>
        <v>236.2978</v>
      </c>
    </row>
    <row r="11" spans="1:8">
      <c r="A11" s="28" t="s">
        <v>5</v>
      </c>
      <c r="B11" s="28"/>
      <c r="C11" s="28"/>
      <c r="D11" s="28"/>
      <c r="E11" s="28"/>
    </row>
    <row r="12" spans="1:8" ht="25.75" customHeight="1">
      <c r="A12" s="5" t="s">
        <v>2</v>
      </c>
      <c r="B12" s="5" t="s">
        <v>6</v>
      </c>
      <c r="C12" s="5" t="s">
        <v>7</v>
      </c>
      <c r="D12" s="5" t="s">
        <v>8</v>
      </c>
      <c r="E12" s="5" t="s">
        <v>9</v>
      </c>
    </row>
    <row r="13" spans="1:8">
      <c r="A13">
        <v>2021</v>
      </c>
      <c r="B13" s="3">
        <v>19.7</v>
      </c>
      <c r="C13" s="3">
        <v>2</v>
      </c>
      <c r="D13" s="3">
        <f>B13-C13</f>
        <v>17.7</v>
      </c>
      <c r="E13" s="3">
        <f>C13+D13</f>
        <v>19.7</v>
      </c>
    </row>
    <row r="14" spans="1:8">
      <c r="A14">
        <v>2022</v>
      </c>
      <c r="B14" s="3">
        <v>22</v>
      </c>
      <c r="C14" s="3">
        <v>2.9</v>
      </c>
      <c r="D14" s="3">
        <f>B14-C14</f>
        <v>19.100000000000001</v>
      </c>
      <c r="E14" s="3">
        <f>C14+D14</f>
        <v>22</v>
      </c>
    </row>
    <row r="15" spans="1:8">
      <c r="A15">
        <v>2023</v>
      </c>
      <c r="B15" s="3">
        <v>27</v>
      </c>
      <c r="C15" s="3">
        <v>5.7</v>
      </c>
      <c r="D15" s="3">
        <f>B15-C15</f>
        <v>21.3</v>
      </c>
      <c r="E15" s="3">
        <f>C15+D15</f>
        <v>27</v>
      </c>
    </row>
    <row r="16" spans="1:8">
      <c r="A16">
        <v>2024</v>
      </c>
      <c r="B16" s="3">
        <v>21.2</v>
      </c>
      <c r="C16" s="3">
        <v>4.8</v>
      </c>
      <c r="D16" s="3">
        <f>B16-C16</f>
        <v>16.399999999999999</v>
      </c>
      <c r="E16" s="3">
        <f>C16+D16</f>
        <v>21.2</v>
      </c>
    </row>
    <row r="17" spans="1:8">
      <c r="A17">
        <v>2025</v>
      </c>
      <c r="B17" s="3">
        <v>25.2</v>
      </c>
      <c r="C17" s="3">
        <v>4.8</v>
      </c>
      <c r="D17" s="3">
        <f>B17-C17</f>
        <v>20.399999999999999</v>
      </c>
      <c r="E17" s="3">
        <f>C17+D17</f>
        <v>25.2</v>
      </c>
    </row>
    <row r="19" spans="1:8">
      <c r="A19" s="6" t="s">
        <v>10</v>
      </c>
      <c r="B19" s="7"/>
      <c r="C19" s="7"/>
      <c r="D19" s="7"/>
      <c r="E19" s="7"/>
      <c r="F19" s="7"/>
      <c r="G19" s="7"/>
      <c r="H19" s="7"/>
    </row>
    <row r="20" spans="1:8" ht="70">
      <c r="A20" s="8" t="s">
        <v>11</v>
      </c>
      <c r="B20" s="9" t="s">
        <v>12</v>
      </c>
      <c r="C20" s="9"/>
      <c r="D20" s="9"/>
      <c r="E20" s="9"/>
      <c r="F20" s="9"/>
      <c r="G20" s="9"/>
      <c r="H20" s="9"/>
    </row>
    <row r="21" spans="1:8" ht="84">
      <c r="A21" s="8" t="s">
        <v>13</v>
      </c>
      <c r="B21" s="9" t="s">
        <v>14</v>
      </c>
      <c r="C21" s="9"/>
      <c r="D21" s="9"/>
      <c r="E21" s="9"/>
      <c r="F21" s="9"/>
      <c r="G21" s="9"/>
      <c r="H21" s="9"/>
    </row>
    <row r="22" spans="1:8" ht="42">
      <c r="A22" s="10" t="s">
        <v>15</v>
      </c>
      <c r="B22" s="11" t="s">
        <v>16</v>
      </c>
      <c r="C22" s="11"/>
      <c r="D22" s="11"/>
      <c r="E22" s="11"/>
      <c r="F22" s="11"/>
      <c r="G22" s="11"/>
      <c r="H22" s="11"/>
    </row>
  </sheetData>
  <mergeCells count="3">
    <mergeCell ref="A1:H1"/>
    <mergeCell ref="A3:F3"/>
    <mergeCell ref="A11:E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050A-B61F-4D7E-855E-3C55BAECE527}">
  <dimension ref="A1:J39"/>
  <sheetViews>
    <sheetView tabSelected="1" workbookViewId="0">
      <selection activeCell="G11" sqref="G11"/>
    </sheetView>
  </sheetViews>
  <sheetFormatPr defaultRowHeight="14"/>
  <cols>
    <col min="2" max="2" width="18.75" customWidth="1"/>
    <col min="3" max="3" width="12.1640625" customWidth="1"/>
  </cols>
  <sheetData>
    <row r="1" spans="1:10">
      <c r="A1" s="29" t="s">
        <v>62</v>
      </c>
    </row>
    <row r="3" spans="1:10">
      <c r="A3" s="30"/>
      <c r="B3" s="30"/>
      <c r="C3" s="30"/>
      <c r="D3" s="31">
        <f t="shared" ref="D3:F3" si="0">E3-1</f>
        <v>2021</v>
      </c>
      <c r="E3" s="31">
        <f t="shared" si="0"/>
        <v>2022</v>
      </c>
      <c r="F3" s="31">
        <f t="shared" si="0"/>
        <v>2023</v>
      </c>
      <c r="G3" s="31">
        <f>H3-1</f>
        <v>2024</v>
      </c>
      <c r="H3" s="31">
        <v>2025</v>
      </c>
      <c r="I3" t="s">
        <v>43</v>
      </c>
    </row>
    <row r="4" spans="1:10">
      <c r="A4" s="30" t="s">
        <v>63</v>
      </c>
      <c r="B4" s="30"/>
      <c r="C4" s="30" t="s">
        <v>64</v>
      </c>
      <c r="D4" s="32">
        <v>42.65</v>
      </c>
      <c r="E4" s="32">
        <v>37.26</v>
      </c>
      <c r="F4" s="32">
        <v>36.07</v>
      </c>
      <c r="G4" s="32">
        <v>34.01</v>
      </c>
      <c r="H4" s="33"/>
      <c r="I4" t="s">
        <v>65</v>
      </c>
    </row>
    <row r="5" spans="1:10">
      <c r="A5" s="34" t="s">
        <v>66</v>
      </c>
      <c r="B5" s="34"/>
      <c r="C5" s="34" t="s">
        <v>64</v>
      </c>
      <c r="D5" s="35">
        <v>28.703449999999997</v>
      </c>
      <c r="E5" s="35">
        <v>26.081999999999997</v>
      </c>
      <c r="F5" s="35">
        <v>25.934330000000003</v>
      </c>
      <c r="G5" s="35">
        <v>25.711559999999995</v>
      </c>
      <c r="H5" s="33"/>
      <c r="I5" t="s">
        <v>67</v>
      </c>
    </row>
    <row r="6" spans="1:10">
      <c r="A6" s="34" t="s">
        <v>68</v>
      </c>
      <c r="B6" s="34"/>
      <c r="C6" s="34" t="s">
        <v>64</v>
      </c>
      <c r="D6" s="35">
        <v>9.4147315999999979</v>
      </c>
      <c r="E6" s="35">
        <v>7.8245999999999993</v>
      </c>
      <c r="F6" s="35">
        <v>7.2616124000000015</v>
      </c>
      <c r="G6" s="35">
        <v>6.2736206399999981</v>
      </c>
      <c r="H6" s="33"/>
      <c r="I6" t="s">
        <v>67</v>
      </c>
    </row>
    <row r="7" spans="1:10">
      <c r="A7" s="30" t="s">
        <v>69</v>
      </c>
      <c r="B7" s="30"/>
      <c r="C7" s="30" t="s">
        <v>64</v>
      </c>
      <c r="D7" s="36">
        <v>38.049999999999997</v>
      </c>
      <c r="E7" s="32">
        <v>35.92</v>
      </c>
      <c r="F7" s="32">
        <v>32.64</v>
      </c>
      <c r="G7" s="32">
        <v>27.94</v>
      </c>
      <c r="H7" s="33"/>
      <c r="I7" t="s">
        <v>65</v>
      </c>
    </row>
    <row r="10" spans="1:10">
      <c r="A10" s="29" t="s">
        <v>70</v>
      </c>
    </row>
    <row r="11" spans="1:10">
      <c r="J11" t="s">
        <v>71</v>
      </c>
    </row>
    <row r="12" spans="1:10">
      <c r="D12" s="31">
        <v>2021</v>
      </c>
      <c r="E12" s="31">
        <v>2022</v>
      </c>
      <c r="F12" s="31">
        <v>2023</v>
      </c>
      <c r="G12" s="31">
        <v>2024</v>
      </c>
      <c r="H12" s="31">
        <v>2025</v>
      </c>
      <c r="J12" t="s">
        <v>72</v>
      </c>
    </row>
    <row r="13" spans="1:10">
      <c r="A13" s="37" t="s">
        <v>73</v>
      </c>
      <c r="B13" s="37"/>
      <c r="C13" s="37" t="s">
        <v>74</v>
      </c>
      <c r="D13" s="38"/>
      <c r="E13" s="38"/>
      <c r="F13" s="38"/>
      <c r="G13" s="38"/>
      <c r="J13" t="s">
        <v>75</v>
      </c>
    </row>
    <row r="14" spans="1:10">
      <c r="A14" s="37" t="s">
        <v>76</v>
      </c>
      <c r="B14" s="37"/>
      <c r="C14" s="37" t="s">
        <v>74</v>
      </c>
      <c r="D14" s="39"/>
      <c r="E14" s="39"/>
      <c r="F14" s="39"/>
      <c r="G14" s="39"/>
      <c r="J14" t="s">
        <v>77</v>
      </c>
    </row>
    <row r="15" spans="1:10">
      <c r="A15" s="37" t="s">
        <v>78</v>
      </c>
      <c r="B15" s="37"/>
      <c r="C15" s="37" t="s">
        <v>74</v>
      </c>
      <c r="D15" s="39"/>
      <c r="E15" s="39"/>
      <c r="F15" s="39"/>
      <c r="G15" s="39"/>
    </row>
    <row r="16" spans="1:10">
      <c r="A16" t="s">
        <v>79</v>
      </c>
    </row>
    <row r="18" spans="1:10">
      <c r="A18" s="29" t="s">
        <v>80</v>
      </c>
    </row>
    <row r="19" spans="1:10">
      <c r="D19" s="31">
        <v>2021</v>
      </c>
      <c r="E19" s="31">
        <v>2022</v>
      </c>
      <c r="F19" s="31">
        <v>2023</v>
      </c>
      <c r="G19" s="31">
        <v>2024</v>
      </c>
      <c r="H19" s="31">
        <v>2025</v>
      </c>
    </row>
    <row r="20" spans="1:10">
      <c r="A20" t="s">
        <v>81</v>
      </c>
      <c r="C20" t="s">
        <v>82</v>
      </c>
      <c r="D20" s="40" t="s">
        <v>83</v>
      </c>
      <c r="E20" s="40" t="s">
        <v>84</v>
      </c>
      <c r="F20" s="40" t="s">
        <v>85</v>
      </c>
      <c r="G20" s="40" t="s">
        <v>86</v>
      </c>
      <c r="H20" s="40" t="s">
        <v>87</v>
      </c>
      <c r="J20" t="s">
        <v>64</v>
      </c>
    </row>
    <row r="21" spans="1:10">
      <c r="A21" t="s">
        <v>88</v>
      </c>
      <c r="J21" t="s">
        <v>64</v>
      </c>
    </row>
    <row r="22" spans="1:10">
      <c r="A22" t="s">
        <v>89</v>
      </c>
      <c r="J22" t="s">
        <v>64</v>
      </c>
    </row>
    <row r="23" spans="1:10">
      <c r="A23" t="s">
        <v>90</v>
      </c>
    </row>
    <row r="24" spans="1:10">
      <c r="A24" t="s">
        <v>91</v>
      </c>
    </row>
    <row r="26" spans="1:10">
      <c r="A26" s="29" t="s">
        <v>92</v>
      </c>
    </row>
    <row r="27" spans="1:10">
      <c r="A27" s="30"/>
      <c r="B27" s="30"/>
      <c r="C27" s="30"/>
      <c r="D27" s="31">
        <f t="shared" ref="D27:F27" si="1">E27-1</f>
        <v>2021</v>
      </c>
      <c r="E27" s="31">
        <f t="shared" si="1"/>
        <v>2022</v>
      </c>
      <c r="F27" s="31">
        <f t="shared" si="1"/>
        <v>2023</v>
      </c>
      <c r="G27" s="31">
        <f>H27-1</f>
        <v>2024</v>
      </c>
      <c r="H27" s="31">
        <v>2025</v>
      </c>
    </row>
    <row r="28" spans="1:10">
      <c r="A28" s="41" t="s">
        <v>93</v>
      </c>
      <c r="B28" s="41"/>
      <c r="C28" s="41"/>
      <c r="D28" s="41"/>
      <c r="E28" s="41"/>
      <c r="F28" s="41"/>
      <c r="G28" s="41"/>
      <c r="H28" s="30"/>
    </row>
    <row r="29" spans="1:10">
      <c r="A29" s="41" t="s">
        <v>94</v>
      </c>
      <c r="B29" s="41"/>
      <c r="C29" s="41"/>
      <c r="D29" s="41"/>
      <c r="E29" s="41"/>
      <c r="F29" s="41"/>
      <c r="G29" s="42"/>
      <c r="H29" s="30"/>
    </row>
    <row r="30" spans="1:10">
      <c r="A30" s="41" t="s">
        <v>95</v>
      </c>
      <c r="B30" s="41"/>
      <c r="C30" s="41"/>
      <c r="D30" s="43">
        <v>1974.93</v>
      </c>
      <c r="E30" s="43">
        <v>2857.94</v>
      </c>
      <c r="F30" s="43">
        <v>5668.68</v>
      </c>
      <c r="G30" s="43">
        <v>4799.3100000000004</v>
      </c>
      <c r="H30" s="30"/>
    </row>
    <row r="31" spans="1:10">
      <c r="A31" s="41" t="s">
        <v>96</v>
      </c>
      <c r="B31" s="41"/>
      <c r="C31" s="41"/>
      <c r="D31" s="43">
        <v>627.1</v>
      </c>
      <c r="E31" s="43">
        <v>621.37</v>
      </c>
      <c r="F31" s="43">
        <v>822.54</v>
      </c>
      <c r="G31" s="43">
        <v>822.97</v>
      </c>
      <c r="H31" s="30"/>
    </row>
    <row r="32" spans="1:10">
      <c r="A32" s="41" t="s">
        <v>97</v>
      </c>
      <c r="B32" s="41"/>
      <c r="C32" s="41"/>
      <c r="D32" s="43">
        <v>1347.78</v>
      </c>
      <c r="E32" s="43">
        <v>2236.5700000000002</v>
      </c>
      <c r="F32" s="43">
        <v>4846.1400000000003</v>
      </c>
      <c r="G32" s="43">
        <v>3976.34</v>
      </c>
      <c r="H32" s="30"/>
    </row>
    <row r="35" spans="1:8">
      <c r="A35" s="29" t="s">
        <v>98</v>
      </c>
    </row>
    <row r="36" spans="1:8">
      <c r="D36" s="31">
        <f t="shared" ref="D36:F36" si="2">E36-1</f>
        <v>2021</v>
      </c>
      <c r="E36" s="31">
        <f t="shared" si="2"/>
        <v>2022</v>
      </c>
      <c r="F36" s="31">
        <f t="shared" si="2"/>
        <v>2023</v>
      </c>
      <c r="G36" s="31">
        <f>H36-1</f>
        <v>2024</v>
      </c>
      <c r="H36" s="31">
        <v>2025</v>
      </c>
    </row>
    <row r="37" spans="1:8">
      <c r="A37" s="44" t="s">
        <v>99</v>
      </c>
      <c r="B37" s="44"/>
      <c r="C37" s="44" t="s">
        <v>100</v>
      </c>
      <c r="D37" s="44">
        <v>19.731000000000002</v>
      </c>
      <c r="E37" s="44">
        <v>22.048999999999999</v>
      </c>
      <c r="F37" s="44">
        <v>27.013999999999999</v>
      </c>
      <c r="G37" s="44">
        <v>21.234999999999999</v>
      </c>
      <c r="H37" s="44">
        <v>19.786999999999999</v>
      </c>
    </row>
    <row r="38" spans="1:8">
      <c r="A38" s="44" t="s">
        <v>101</v>
      </c>
      <c r="B38" s="44"/>
      <c r="C38" s="44" t="s">
        <v>100</v>
      </c>
      <c r="D38" s="44"/>
      <c r="E38" s="44"/>
      <c r="F38" s="44"/>
      <c r="G38" s="44"/>
      <c r="H38" s="44"/>
    </row>
    <row r="39" spans="1:8">
      <c r="A39" s="44" t="s">
        <v>102</v>
      </c>
      <c r="B39" s="44"/>
      <c r="C39" s="44" t="s">
        <v>100</v>
      </c>
      <c r="D39" s="44"/>
      <c r="E39" s="44"/>
      <c r="F39" s="44"/>
      <c r="G39" s="44"/>
      <c r="H39" s="4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4" sqref="C14"/>
    </sheetView>
  </sheetViews>
  <sheetFormatPr defaultRowHeight="14"/>
  <cols>
    <col min="1" max="1" width="28" customWidth="1"/>
    <col min="2" max="3" width="48" customWidth="1"/>
    <col min="4" max="4" width="42" customWidth="1"/>
  </cols>
  <sheetData>
    <row r="1" spans="1:4" ht="20.9" customHeight="1">
      <c r="A1" s="24" t="s">
        <v>17</v>
      </c>
      <c r="B1" s="25"/>
      <c r="C1" s="25"/>
      <c r="D1" s="25"/>
    </row>
    <row r="3" spans="1:4" ht="48" customHeight="1">
      <c r="A3" s="12" t="s">
        <v>18</v>
      </c>
      <c r="B3" s="13" t="s">
        <v>19</v>
      </c>
      <c r="C3" s="13" t="s">
        <v>20</v>
      </c>
      <c r="D3" s="14" t="s">
        <v>21</v>
      </c>
    </row>
    <row r="4" spans="1:4" ht="48" customHeight="1">
      <c r="A4" s="15" t="s">
        <v>22</v>
      </c>
      <c r="B4" s="16" t="s">
        <v>23</v>
      </c>
      <c r="C4" s="16" t="s">
        <v>24</v>
      </c>
      <c r="D4" s="17" t="s">
        <v>25</v>
      </c>
    </row>
    <row r="5" spans="1:4" ht="48" customHeight="1">
      <c r="A5" s="15" t="s">
        <v>26</v>
      </c>
      <c r="B5" s="16" t="s">
        <v>27</v>
      </c>
      <c r="C5" s="16" t="s">
        <v>28</v>
      </c>
      <c r="D5" s="17" t="s">
        <v>29</v>
      </c>
    </row>
    <row r="6" spans="1:4" ht="48" customHeight="1">
      <c r="A6" s="15" t="s">
        <v>6</v>
      </c>
      <c r="B6" s="16" t="s">
        <v>30</v>
      </c>
      <c r="C6" s="16" t="s">
        <v>31</v>
      </c>
      <c r="D6" s="17" t="s">
        <v>32</v>
      </c>
    </row>
    <row r="7" spans="1:4" ht="48" customHeight="1">
      <c r="A7" s="18" t="s">
        <v>7</v>
      </c>
      <c r="B7" s="19" t="s">
        <v>33</v>
      </c>
      <c r="C7" s="19" t="s">
        <v>34</v>
      </c>
      <c r="D7" s="20" t="s">
        <v>35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H1"/>
    </sheetView>
  </sheetViews>
  <sheetFormatPr defaultRowHeight="14"/>
  <cols>
    <col min="1" max="1" width="16" customWidth="1"/>
    <col min="2" max="2" width="42" customWidth="1"/>
    <col min="3" max="3" width="78" customWidth="1"/>
    <col min="4" max="4" width="50" customWidth="1"/>
    <col min="5" max="5" width="20" customWidth="1"/>
    <col min="6" max="6" width="24" customWidth="1"/>
    <col min="7" max="7" width="26" customWidth="1"/>
    <col min="8" max="8" width="24" customWidth="1"/>
  </cols>
  <sheetData>
    <row r="1" spans="1:8" ht="20.9" customHeight="1">
      <c r="A1" s="24" t="s">
        <v>36</v>
      </c>
      <c r="B1" s="25"/>
      <c r="C1" s="25"/>
      <c r="D1" s="25"/>
      <c r="E1" s="25"/>
      <c r="F1" s="25"/>
      <c r="G1" s="25"/>
      <c r="H1" s="25"/>
    </row>
    <row r="3" spans="1:8" ht="31.9" customHeight="1">
      <c r="A3" s="1" t="s">
        <v>2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7</v>
      </c>
    </row>
    <row r="4" spans="1:8">
      <c r="A4">
        <v>2021</v>
      </c>
      <c r="B4" s="3">
        <v>110.3</v>
      </c>
      <c r="C4" s="4">
        <v>0.41699999999999998</v>
      </c>
      <c r="D4" s="3">
        <f>B4*C4</f>
        <v>45.995099999999994</v>
      </c>
      <c r="E4" s="3">
        <f>1-C4</f>
        <v>0.58299999999999996</v>
      </c>
      <c r="F4" s="3">
        <f>B4*E4</f>
        <v>64.304899999999989</v>
      </c>
      <c r="G4" s="3">
        <v>19.7</v>
      </c>
      <c r="H4" s="3">
        <v>2</v>
      </c>
    </row>
    <row r="5" spans="1:8">
      <c r="A5">
        <v>2022</v>
      </c>
      <c r="B5" s="3">
        <v>153.9</v>
      </c>
      <c r="C5" s="4">
        <v>0.40500000000000003</v>
      </c>
      <c r="D5" s="3">
        <f>B5*C5</f>
        <v>62.329500000000003</v>
      </c>
      <c r="E5" s="3">
        <f>1-C5</f>
        <v>0.59499999999999997</v>
      </c>
      <c r="F5" s="3">
        <f>B5*E5</f>
        <v>91.570499999999996</v>
      </c>
      <c r="G5" s="3">
        <v>22</v>
      </c>
      <c r="H5" s="3">
        <v>2.9</v>
      </c>
    </row>
    <row r="6" spans="1:8">
      <c r="A6">
        <v>2023</v>
      </c>
      <c r="B6" s="3">
        <v>206.4</v>
      </c>
      <c r="C6" s="4">
        <v>0.39600000000000002</v>
      </c>
      <c r="D6" s="3">
        <f>B6*C6</f>
        <v>81.734400000000008</v>
      </c>
      <c r="E6" s="3">
        <f>1-C6</f>
        <v>0.60399999999999998</v>
      </c>
      <c r="F6" s="3">
        <f>B6*E6</f>
        <v>124.6656</v>
      </c>
      <c r="G6" s="3">
        <v>27</v>
      </c>
      <c r="H6" s="3">
        <v>5.7</v>
      </c>
    </row>
    <row r="7" spans="1:8">
      <c r="A7">
        <v>2024</v>
      </c>
      <c r="B7" s="3">
        <v>172.7</v>
      </c>
      <c r="C7" s="4">
        <v>0.38700000000000001</v>
      </c>
      <c r="D7" s="3">
        <f>B7*C7</f>
        <v>66.83489999999999</v>
      </c>
      <c r="E7" s="3">
        <f>1-C7</f>
        <v>0.61299999999999999</v>
      </c>
      <c r="F7" s="3">
        <f>B7*E7</f>
        <v>105.8651</v>
      </c>
      <c r="G7" s="3">
        <v>21.2</v>
      </c>
      <c r="H7" s="3">
        <v>4.8</v>
      </c>
    </row>
    <row r="8" spans="1:8">
      <c r="A8">
        <v>2025</v>
      </c>
      <c r="B8" s="3">
        <v>379.9</v>
      </c>
      <c r="C8" s="4">
        <v>0.378</v>
      </c>
      <c r="D8" s="3">
        <f>B8*C8</f>
        <v>143.60219999999998</v>
      </c>
      <c r="E8" s="3">
        <f>1-C8</f>
        <v>0.622</v>
      </c>
      <c r="F8" s="3">
        <f>B8*E8</f>
        <v>236.2978</v>
      </c>
      <c r="G8" s="3">
        <v>25.2</v>
      </c>
      <c r="H8" s="3">
        <v>4.8</v>
      </c>
    </row>
    <row r="11" spans="1:8">
      <c r="A11" s="21" t="s">
        <v>43</v>
      </c>
      <c r="B11" s="22" t="s">
        <v>44</v>
      </c>
      <c r="C11" s="22" t="s">
        <v>45</v>
      </c>
      <c r="D11" s="23" t="s">
        <v>46</v>
      </c>
    </row>
    <row r="12" spans="1:8" ht="28">
      <c r="A12" s="15" t="s">
        <v>47</v>
      </c>
      <c r="B12" s="16" t="s">
        <v>48</v>
      </c>
      <c r="C12" s="16" t="s">
        <v>49</v>
      </c>
      <c r="D12" s="17" t="s">
        <v>50</v>
      </c>
    </row>
    <row r="13" spans="1:8" ht="42">
      <c r="A13" s="15" t="s">
        <v>51</v>
      </c>
      <c r="B13" s="16" t="s">
        <v>52</v>
      </c>
      <c r="C13" s="16" t="s">
        <v>53</v>
      </c>
      <c r="D13" s="17" t="s">
        <v>54</v>
      </c>
    </row>
    <row r="14" spans="1:8" ht="42">
      <c r="A14" s="18" t="s">
        <v>55</v>
      </c>
      <c r="B14" s="19" t="s">
        <v>56</v>
      </c>
      <c r="C14" s="19" t="s">
        <v>57</v>
      </c>
      <c r="D14" s="20" t="s">
        <v>58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Final_Estimates</vt:lpstr>
      <vt:lpstr>Also 2025 data</vt:lpstr>
      <vt:lpstr>Method_Notes</vt:lpstr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Jonathan Wenzel Pedersen</cp:lastModifiedBy>
  <dcterms:created xsi:type="dcterms:W3CDTF">2026-06-27T03:09:46Z</dcterms:created>
  <dcterms:modified xsi:type="dcterms:W3CDTF">2026-07-10T00:49:51Z</dcterms:modified>
</cp:coreProperties>
</file>