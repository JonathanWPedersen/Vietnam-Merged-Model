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ds606\Desktop\Vietnam-Merged-Model\Model\data\"/>
    </mc:Choice>
  </mc:AlternateContent>
  <xr:revisionPtr revIDLastSave="0" documentId="13_ncr:1_{988E2C2B-702E-409E-ACB8-F01E3D46C8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bserv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<sst xmlns="http://schemas.openxmlformats.org/spreadsheetml/2006/main" count="283" uniqueCount="110">
  <si>
    <t>OBSERVED DATA</t>
  </si>
  <si>
    <t>Source group</t>
  </si>
  <si>
    <t>Series</t>
  </si>
  <si>
    <t>Unit</t>
  </si>
  <si>
    <t>2019</t>
  </si>
  <si>
    <t>2020</t>
  </si>
  <si>
    <t>2021</t>
  </si>
  <si>
    <t>2022</t>
  </si>
  <si>
    <t>2023</t>
  </si>
  <si>
    <t>2024</t>
  </si>
  <si>
    <t>Published source</t>
  </si>
  <si>
    <t>GSO national accounts — nominal expenditure</t>
  </si>
  <si>
    <t>Nominal GDP</t>
  </si>
  <si>
    <t>bn VND, current</t>
  </si>
  <si>
    <t>GSO PXWeb E0308</t>
  </si>
  <si>
    <t>Gross capital formation</t>
  </si>
  <si>
    <t>Final consumption</t>
  </si>
  <si>
    <t>Public consumption</t>
  </si>
  <si>
    <t>Household consumption</t>
  </si>
  <si>
    <t>Trade balance (goods and services)</t>
  </si>
  <si>
    <t>Statistical discrepancy</t>
  </si>
  <si>
    <t>GSO national accounts — real expenditure</t>
  </si>
  <si>
    <t>Real GDP</t>
  </si>
  <si>
    <t>bn VND, 2024 prices</t>
  </si>
  <si>
    <t>Real gross capital formation</t>
  </si>
  <si>
    <t>Real final consumption</t>
  </si>
  <si>
    <t>Real public consumption</t>
  </si>
  <si>
    <t>Real household consumption</t>
  </si>
  <si>
    <t>Real trade balance (goods and services)</t>
  </si>
  <si>
    <t>Real statistical discrepancy</t>
  </si>
  <si>
    <t>GSO national accounts — real sector GDP</t>
  </si>
  <si>
    <t>Sector GDP total</t>
  </si>
  <si>
    <t>bn VND, constant</t>
  </si>
  <si>
    <t>GSO PXWeb E0303</t>
  </si>
  <si>
    <t>Agriculture GDP</t>
  </si>
  <si>
    <t>Industry GDP</t>
  </si>
  <si>
    <t>Services GDP</t>
  </si>
  <si>
    <t>Product taxes less subsidies</t>
  </si>
  <si>
    <t>GSO trade — goods exports by activity</t>
  </si>
  <si>
    <t>Goods exports total</t>
  </si>
  <si>
    <t>mn USD</t>
  </si>
  <si>
    <t>GSO PXWeb E0902</t>
  </si>
  <si>
    <t>Goods exports — Agriculture, Forestry and Fishing</t>
  </si>
  <si>
    <t>Goods exports — Mining and quarrying</t>
  </si>
  <si>
    <t>Goods exports — Manufacturing</t>
  </si>
  <si>
    <t>Goods exports — Electricity, gas, steam and air conditioning supply</t>
  </si>
  <si>
    <t>Goods exports — Water supply, sewerage, waste management and remediation activities</t>
  </si>
  <si>
    <t>Goods exports — Transportation and storage</t>
  </si>
  <si>
    <t>Goods exports — Information and communication</t>
  </si>
  <si>
    <t>Goods exports — Professional, scientific and technical activities</t>
  </si>
  <si>
    <t>Goods exports — Arts, entertainment and recreation</t>
  </si>
  <si>
    <t>Goods exports — Other commodities, n.e.s</t>
  </si>
  <si>
    <t>GSO trade — services exports</t>
  </si>
  <si>
    <t>Services exports, balance-of-payments basis</t>
  </si>
  <si>
    <t>GSO services export table</t>
  </si>
  <si>
    <t>IMF external accounts — non-factor services</t>
  </si>
  <si>
    <t>Non-factor services exports</t>
  </si>
  <si>
    <t>bn USD</t>
  </si>
  <si>
    <t>IMF Country Report series</t>
  </si>
  <si>
    <t>Non-factor services imports</t>
  </si>
  <si>
    <t>IMF financial data</t>
  </si>
  <si>
    <t>IMF nominal GDP</t>
  </si>
  <si>
    <t>tn VND</t>
  </si>
  <si>
    <t>IMF Country Report No. 25/283, Tables 2–5</t>
  </si>
  <si>
    <t>Exchange rate, period average</t>
  </si>
  <si>
    <t>thousand VND / USD</t>
  </si>
  <si>
    <t>Net foreign assets</t>
  </si>
  <si>
    <t>Broad money / M2</t>
  </si>
  <si>
    <t>Credit to government</t>
  </si>
  <si>
    <t>Credit to state enterprises</t>
  </si>
  <si>
    <t>Credit to others</t>
  </si>
  <si>
    <t>Other net borrowing</t>
  </si>
  <si>
    <t>Government net domestic debt change</t>
  </si>
  <si>
    <t>Gross official reserves</t>
  </si>
  <si>
    <t>Net official reserves change</t>
  </si>
  <si>
    <t>FDI equity</t>
  </si>
  <si>
    <t>IMF external accounts — goods trade</t>
  </si>
  <si>
    <t>Goods exports</t>
  </si>
  <si>
    <t>IMF Country Report No. 25/283, Table 3</t>
  </si>
  <si>
    <t>Goods imports</t>
  </si>
  <si>
    <t>IMF external and fiscal data</t>
  </si>
  <si>
    <t>Government revenue excluding grants</t>
  </si>
  <si>
    <t>share of GDP</t>
  </si>
  <si>
    <t>IMF Country Report No. 25/283, Tables 3–4</t>
  </si>
  <si>
    <t>Government grants</t>
  </si>
  <si>
    <t>Public current expenditure excluding interest</t>
  </si>
  <si>
    <t>Public interest payments</t>
  </si>
  <si>
    <t>Public investment</t>
  </si>
  <si>
    <t>Public net onlending</t>
  </si>
  <si>
    <t>Current account balance</t>
  </si>
  <si>
    <t>Government transfers from abroad</t>
  </si>
  <si>
    <t>Private transfers from abroad</t>
  </si>
  <si>
    <t>Foreign investment income</t>
  </si>
  <si>
    <t>Foreign investment payments</t>
  </si>
  <si>
    <t>Foreign interest payments, total</t>
  </si>
  <si>
    <t>Direct investment, net</t>
  </si>
  <si>
    <t>Foreign direct investment</t>
  </si>
  <si>
    <t>Portfolio investment</t>
  </si>
  <si>
    <t>Errors and omissions</t>
  </si>
  <si>
    <t>Debt data</t>
  </si>
  <si>
    <t>Public debt stock</t>
  </si>
  <si>
    <t>IMF Country Report No. 25/283, Table 4</t>
  </si>
  <si>
    <t>Total external debt</t>
  </si>
  <si>
    <t>Foreign interest-payment detail</t>
  </si>
  <si>
    <t>Government foreign interest payments</t>
  </si>
  <si>
    <t>Detailed interest-payment source series</t>
  </si>
  <si>
    <t>Private foreign interest payments</t>
  </si>
  <si>
    <t>Banking-system share of government domestic debt change</t>
  </si>
  <si>
    <t>percent</t>
  </si>
  <si>
    <t>Legacy IMF financial calibration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</si>
</sst>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[Red]\-#,##0.0000"/>
    <numFmt numFmtId="165" formatCode="#,##0.0;[Red]\-#,##0.0"/>
  </numFmts>
  <fonts count="8">
    <font>
      <sz val="11"/>
      <name val="Carlito"/>
    </font>
    <font>
      <sz val="10"/>
      <color rgb="FF1F1F1F"/>
      <name val="Calibri"/>
    </font>
    <font>
      <sz val="8"/>
      <name val="Carlito"/>
    </font>
    <font>
      <sz val="10"/>
      <name val="Calibri"/>
      <family val="2"/>
    </font>
    <font>
      <b/>
      <sz val="13"/>
      <name val="Carlito"/>
    </font>
    <font>
      <i/>
      <sz val="10"/>
      <name val="Carlito"/>
    </font>
    <font>
      <b/>
      <sz val="11"/>
      <name val="Carlito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color rgb="FFB91C1C"/>
      </font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"/>
  <sheetViews>
    <sheetView tabSelected="1" zoomScale="70" zoomScaleNormal="70" zoomScaleSheetLayoutView="50" workbookViewId="0">
      <selection activeCell="H10" sqref="H10"/>
    </sheetView>
  </sheetViews>
  <sheetFormatPr defaultRowHeight="14"/>
  <cols>
    <col min="1" max="1" width="36" customWidth="1"/>
    <col min="2" max="2" width="48" customWidth="1"/>
    <col min="3" max="3" width="24" customWidth="1"/>
    <col min="4" max="9" width="14" customWidth="1"/>
    <col min="10" max="10" width="35" customWidth="1"/>
  </cols>
  <sheetData>
    <row r="1" spans="1:10" ht="16.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6.899999999999999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4.25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>
      <c r="A5" s="7" t="s">
        <v>11</v>
      </c>
      <c r="B5" s="8" t="s">
        <v>12</v>
      </c>
      <c r="C5" s="8" t="s">
        <v>13</v>
      </c>
      <c r="D5" s="9">
        <v>7707200.2999999998</v>
      </c>
      <c r="E5" s="9">
        <v>8044385.7000000002</v>
      </c>
      <c r="F5" s="9">
        <v>8487475.5999999996</v>
      </c>
      <c r="G5" s="9">
        <v>9621371.8000000007</v>
      </c>
      <c r="H5" s="9">
        <v>10319058.9</v>
      </c>
      <c r="I5" s="9">
        <v>11510328.9</v>
      </c>
      <c r="J5" s="10" t="s">
        <v>14</v>
      </c>
    </row>
    <row r="6" spans="1:10">
      <c r="A6" s="7" t="s">
        <v>11</v>
      </c>
      <c r="B6" s="8" t="s">
        <v>15</v>
      </c>
      <c r="C6" s="8" t="s">
        <v>13</v>
      </c>
      <c r="D6" s="9">
        <v>2464759.6</v>
      </c>
      <c r="E6" s="9">
        <v>2567421.1</v>
      </c>
      <c r="F6" s="9">
        <v>2792006.2</v>
      </c>
      <c r="G6" s="9">
        <v>3111599.7</v>
      </c>
      <c r="H6" s="9">
        <v>3267875.6</v>
      </c>
      <c r="I6" s="9">
        <v>3520402.6</v>
      </c>
      <c r="J6" s="10" t="s">
        <v>14</v>
      </c>
    </row>
    <row r="7" spans="1:10">
      <c r="A7" s="7" t="s">
        <v>11</v>
      </c>
      <c r="B7" s="8" t="s">
        <v>16</v>
      </c>
      <c r="C7" s="8" t="s">
        <v>13</v>
      </c>
      <c r="D7" s="9">
        <v>5118113.3</v>
      </c>
      <c r="E7" s="9">
        <v>5264719.7</v>
      </c>
      <c r="F7" s="9">
        <v>5525695.5999999996</v>
      </c>
      <c r="G7" s="9">
        <v>6109397.2000000002</v>
      </c>
      <c r="H7" s="9">
        <v>6483293.5</v>
      </c>
      <c r="I7" s="9">
        <v>7182395.7000000002</v>
      </c>
      <c r="J7" s="10" t="s">
        <v>14</v>
      </c>
    </row>
    <row r="8" spans="1:10">
      <c r="A8" s="7" t="s">
        <v>11</v>
      </c>
      <c r="B8" s="8" t="s">
        <v>17</v>
      </c>
      <c r="C8" s="8" t="s">
        <v>13</v>
      </c>
      <c r="D8" s="9">
        <v>738260.1</v>
      </c>
      <c r="E8" s="9">
        <v>762512.3</v>
      </c>
      <c r="F8" s="9">
        <v>813531.8</v>
      </c>
      <c r="G8" s="9">
        <v>848501.3</v>
      </c>
      <c r="H8" s="9">
        <v>909372.5</v>
      </c>
      <c r="I8" s="9">
        <v>1017783.4</v>
      </c>
      <c r="J8" s="10" t="s">
        <v>14</v>
      </c>
    </row>
    <row r="9" spans="1:10">
      <c r="A9" s="7" t="s">
        <v>11</v>
      </c>
      <c r="B9" s="8" t="s">
        <v>18</v>
      </c>
      <c r="C9" s="8" t="s">
        <v>13</v>
      </c>
      <c r="D9" s="9">
        <v>4379853.2</v>
      </c>
      <c r="E9" s="9">
        <v>4502208</v>
      </c>
      <c r="F9" s="9">
        <v>4712163.8</v>
      </c>
      <c r="G9" s="9">
        <v>5260895.9000000004</v>
      </c>
      <c r="H9" s="9">
        <v>5573920.9000000004</v>
      </c>
      <c r="I9" s="9">
        <v>6164612.2999999998</v>
      </c>
      <c r="J9" s="10" t="s">
        <v>14</v>
      </c>
    </row>
    <row r="10" spans="1:10">
      <c r="A10" s="7" t="s">
        <v>11</v>
      </c>
      <c r="B10" s="8" t="s">
        <v>19</v>
      </c>
      <c r="C10" s="8" t="s">
        <v>13</v>
      </c>
      <c r="D10" s="9">
        <v>432447.9</v>
      </c>
      <c r="E10" s="9">
        <v>443835.6</v>
      </c>
      <c r="F10" s="9">
        <v>86961.1</v>
      </c>
      <c r="G10" s="9">
        <v>354705.2</v>
      </c>
      <c r="H10" s="9">
        <v>874823.3</v>
      </c>
      <c r="I10" s="9">
        <v>801814.2</v>
      </c>
      <c r="J10" s="10" t="s">
        <v>14</v>
      </c>
    </row>
    <row r="11" spans="1:10">
      <c r="A11" s="7" t="s">
        <v>11</v>
      </c>
      <c r="B11" s="8" t="s">
        <v>20</v>
      </c>
      <c r="C11" s="8" t="s">
        <v>13</v>
      </c>
      <c r="D11" s="9">
        <v>-308120.5</v>
      </c>
      <c r="E11" s="9">
        <v>-231590.6</v>
      </c>
      <c r="F11" s="9">
        <v>82812.7</v>
      </c>
      <c r="G11" s="9">
        <v>45669.7</v>
      </c>
      <c r="H11" s="9">
        <v>-306933.5</v>
      </c>
      <c r="I11" s="9">
        <v>5716.4</v>
      </c>
      <c r="J11" s="10" t="s">
        <v>14</v>
      </c>
    </row>
    <row r="12" spans="1:10">
      <c r="A12" s="7" t="s">
        <v>21</v>
      </c>
      <c r="B12" s="8" t="s">
        <v>22</v>
      </c>
      <c r="C12" s="8" t="s">
        <v>23</v>
      </c>
      <c r="D12" s="9">
        <v>4866315.5999999996</v>
      </c>
      <c r="E12" s="9">
        <v>5005755.7</v>
      </c>
      <c r="F12" s="9">
        <v>5133589.0999999996</v>
      </c>
      <c r="G12" s="9">
        <v>5571869.2000000002</v>
      </c>
      <c r="H12" s="9">
        <v>5849273.7000000002</v>
      </c>
      <c r="I12" s="9">
        <v>6261036.2999999998</v>
      </c>
      <c r="J12" s="10" t="s">
        <v>14</v>
      </c>
    </row>
    <row r="13" spans="1:10">
      <c r="A13" s="7" t="s">
        <v>21</v>
      </c>
      <c r="B13" s="8" t="s">
        <v>24</v>
      </c>
      <c r="C13" s="8" t="s">
        <v>23</v>
      </c>
      <c r="D13" s="9">
        <v>1777370.4</v>
      </c>
      <c r="E13" s="9">
        <v>1850454.2</v>
      </c>
      <c r="F13" s="9">
        <v>1911195.9</v>
      </c>
      <c r="G13" s="9">
        <v>2019204.7</v>
      </c>
      <c r="H13" s="9">
        <v>2103174.2000000002</v>
      </c>
      <c r="I13" s="9">
        <v>2254562.9</v>
      </c>
      <c r="J13" s="10" t="s">
        <v>14</v>
      </c>
    </row>
    <row r="14" spans="1:10">
      <c r="A14" s="7" t="s">
        <v>21</v>
      </c>
      <c r="B14" s="8" t="s">
        <v>25</v>
      </c>
      <c r="C14" s="8" t="s">
        <v>23</v>
      </c>
      <c r="D14" s="9">
        <v>3269610.6</v>
      </c>
      <c r="E14" s="9">
        <v>3286001</v>
      </c>
      <c r="F14" s="9">
        <v>3368419</v>
      </c>
      <c r="G14" s="9">
        <v>3609839.2</v>
      </c>
      <c r="H14" s="9">
        <v>3728513.1</v>
      </c>
      <c r="I14" s="9">
        <v>3973475.4</v>
      </c>
      <c r="J14" s="10" t="s">
        <v>14</v>
      </c>
    </row>
    <row r="15" spans="1:10">
      <c r="A15" s="7" t="s">
        <v>21</v>
      </c>
      <c r="B15" s="8" t="s">
        <v>26</v>
      </c>
      <c r="C15" s="8" t="s">
        <v>23</v>
      </c>
      <c r="D15" s="9">
        <v>461074.7</v>
      </c>
      <c r="E15" s="9">
        <v>466792</v>
      </c>
      <c r="F15" s="9">
        <v>488020.5</v>
      </c>
      <c r="G15" s="9">
        <v>502465.9</v>
      </c>
      <c r="H15" s="9">
        <v>525634.6</v>
      </c>
      <c r="I15" s="9">
        <v>556100</v>
      </c>
      <c r="J15" s="10" t="s">
        <v>14</v>
      </c>
    </row>
    <row r="16" spans="1:10">
      <c r="A16" s="7" t="s">
        <v>21</v>
      </c>
      <c r="B16" s="8" t="s">
        <v>27</v>
      </c>
      <c r="C16" s="8" t="s">
        <v>23</v>
      </c>
      <c r="D16" s="9">
        <v>2808535.9</v>
      </c>
      <c r="E16" s="9">
        <v>2819209</v>
      </c>
      <c r="F16" s="9">
        <v>2880397.9</v>
      </c>
      <c r="G16" s="9">
        <v>3107373.3</v>
      </c>
      <c r="H16" s="9">
        <v>3202878.4</v>
      </c>
      <c r="I16" s="9">
        <v>3417375.4</v>
      </c>
      <c r="J16" s="10" t="s">
        <v>14</v>
      </c>
    </row>
    <row r="17" spans="1:10">
      <c r="A17" s="7" t="s">
        <v>21</v>
      </c>
      <c r="B17" s="8" t="s">
        <v>28</v>
      </c>
      <c r="C17" s="8" t="s">
        <v>23</v>
      </c>
      <c r="D17" s="9">
        <v>-112584.3</v>
      </c>
      <c r="E17" s="9">
        <v>-81800.800000000003</v>
      </c>
      <c r="F17" s="9">
        <v>-180454.7</v>
      </c>
      <c r="G17" s="9">
        <v>-47572.800000000003</v>
      </c>
      <c r="H17" s="9">
        <v>98864.4</v>
      </c>
      <c r="I17" s="9">
        <v>91074.2</v>
      </c>
      <c r="J17" s="10" t="s">
        <v>14</v>
      </c>
    </row>
    <row r="18" spans="1:10">
      <c r="A18" s="7" t="s">
        <v>21</v>
      </c>
      <c r="B18" s="8" t="s">
        <v>29</v>
      </c>
      <c r="C18" s="8" t="s">
        <v>23</v>
      </c>
      <c r="D18" s="9">
        <v>-68081.100000000006</v>
      </c>
      <c r="E18" s="9">
        <v>-48898.2</v>
      </c>
      <c r="F18" s="9">
        <v>34429.4</v>
      </c>
      <c r="G18" s="9">
        <v>-9601.9</v>
      </c>
      <c r="H18" s="9">
        <v>-81278.100000000006</v>
      </c>
      <c r="I18" s="9">
        <v>-58076.2</v>
      </c>
      <c r="J18" s="10" t="s">
        <v>14</v>
      </c>
    </row>
    <row r="19" spans="1:10">
      <c r="A19" s="7" t="s">
        <v>30</v>
      </c>
      <c r="B19" s="8" t="s">
        <v>31</v>
      </c>
      <c r="C19" s="8" t="s">
        <v>32</v>
      </c>
      <c r="D19" s="9">
        <v>4866315.5999999996</v>
      </c>
      <c r="E19" s="9">
        <v>5005755.7</v>
      </c>
      <c r="F19" s="9">
        <v>5133589.0999999996</v>
      </c>
      <c r="G19" s="9">
        <v>5571869.2000000002</v>
      </c>
      <c r="H19" s="9">
        <v>5849273.7000000002</v>
      </c>
      <c r="I19" s="9">
        <v>6261036.2999999998</v>
      </c>
      <c r="J19" s="10" t="s">
        <v>33</v>
      </c>
    </row>
    <row r="20" spans="1:10">
      <c r="A20" s="7" t="s">
        <v>30</v>
      </c>
      <c r="B20" s="8" t="s">
        <v>34</v>
      </c>
      <c r="C20" s="8" t="s">
        <v>32</v>
      </c>
      <c r="D20" s="9">
        <v>549291.6</v>
      </c>
      <c r="E20" s="9">
        <v>565986.80000000005</v>
      </c>
      <c r="F20" s="9">
        <v>586989.19999999995</v>
      </c>
      <c r="G20" s="9">
        <v>608728.80000000005</v>
      </c>
      <c r="H20" s="9">
        <v>632749.9</v>
      </c>
      <c r="I20" s="9">
        <v>655415.1</v>
      </c>
      <c r="J20" s="10" t="s">
        <v>33</v>
      </c>
    </row>
    <row r="21" spans="1:10">
      <c r="A21" s="7" t="s">
        <v>30</v>
      </c>
      <c r="B21" s="8" t="s">
        <v>35</v>
      </c>
      <c r="C21" s="8" t="s">
        <v>32</v>
      </c>
      <c r="D21" s="9">
        <v>1747874.4</v>
      </c>
      <c r="E21" s="9">
        <v>1824414.7</v>
      </c>
      <c r="F21" s="9">
        <v>1882921</v>
      </c>
      <c r="G21" s="9">
        <v>2036938.6</v>
      </c>
      <c r="H21" s="9">
        <v>2110711.4</v>
      </c>
      <c r="I21" s="9">
        <v>2280016.2000000002</v>
      </c>
      <c r="J21" s="10" t="s">
        <v>33</v>
      </c>
    </row>
    <row r="22" spans="1:10">
      <c r="A22" s="7" t="s">
        <v>30</v>
      </c>
      <c r="B22" s="8" t="s">
        <v>36</v>
      </c>
      <c r="C22" s="8" t="s">
        <v>32</v>
      </c>
      <c r="D22" s="9">
        <v>2103954.7999999998</v>
      </c>
      <c r="E22" s="9">
        <v>2146151.2999999998</v>
      </c>
      <c r="F22" s="9">
        <v>2183688.2999999998</v>
      </c>
      <c r="G22" s="9">
        <v>2416543.9</v>
      </c>
      <c r="H22" s="9">
        <v>2581197.5</v>
      </c>
      <c r="I22" s="9">
        <v>2771289.1</v>
      </c>
      <c r="J22" s="10" t="s">
        <v>33</v>
      </c>
    </row>
    <row r="23" spans="1:10">
      <c r="A23" s="7" t="s">
        <v>30</v>
      </c>
      <c r="B23" s="8" t="s">
        <v>37</v>
      </c>
      <c r="C23" s="8" t="s">
        <v>32</v>
      </c>
      <c r="D23" s="9">
        <v>465194.9</v>
      </c>
      <c r="E23" s="9">
        <v>469202.8</v>
      </c>
      <c r="F23" s="9">
        <v>479990.5</v>
      </c>
      <c r="G23" s="9">
        <v>509658</v>
      </c>
      <c r="H23" s="9">
        <v>524614.80000000005</v>
      </c>
      <c r="I23" s="9">
        <v>554315.9</v>
      </c>
      <c r="J23" s="10" t="s">
        <v>33</v>
      </c>
    </row>
    <row r="24" spans="1:10">
      <c r="A24" s="7" t="s">
        <v>38</v>
      </c>
      <c r="B24" s="8" t="s">
        <v>39</v>
      </c>
      <c r="C24" s="8" t="s">
        <v>40</v>
      </c>
      <c r="D24" s="9">
        <v>264267.2</v>
      </c>
      <c r="E24" s="9">
        <v>282628.90000000002</v>
      </c>
      <c r="F24" s="9">
        <v>336166.8</v>
      </c>
      <c r="G24" s="9">
        <v>371715.4</v>
      </c>
      <c r="H24" s="9">
        <v>354721</v>
      </c>
      <c r="I24" s="9">
        <v>405935.4</v>
      </c>
      <c r="J24" s="10" t="s">
        <v>41</v>
      </c>
    </row>
    <row r="25" spans="1:10">
      <c r="A25" s="7" t="s">
        <v>38</v>
      </c>
      <c r="B25" s="8" t="s">
        <v>42</v>
      </c>
      <c r="C25" s="8" t="s">
        <v>40</v>
      </c>
      <c r="D25" s="9">
        <v>7690.3</v>
      </c>
      <c r="E25" s="9">
        <v>7761.2</v>
      </c>
      <c r="F25" s="9">
        <v>8897.6</v>
      </c>
      <c r="G25" s="9">
        <v>6737.6</v>
      </c>
      <c r="H25" s="9">
        <v>11403.8</v>
      </c>
      <c r="I25" s="9">
        <v>18396.7</v>
      </c>
      <c r="J25" s="10" t="s">
        <v>41</v>
      </c>
    </row>
    <row r="26" spans="1:10">
      <c r="A26" s="7" t="s">
        <v>38</v>
      </c>
      <c r="B26" s="8" t="s">
        <v>43</v>
      </c>
      <c r="C26" s="8" t="s">
        <v>40</v>
      </c>
      <c r="D26" s="9">
        <v>2879</v>
      </c>
      <c r="E26" s="9">
        <v>2275</v>
      </c>
      <c r="F26" s="9">
        <v>2493.3000000000002</v>
      </c>
      <c r="G26" s="9">
        <v>764.3</v>
      </c>
      <c r="H26" s="9">
        <v>593.70000000000005</v>
      </c>
      <c r="I26" s="9">
        <v>2261.3000000000002</v>
      </c>
      <c r="J26" s="10" t="s">
        <v>41</v>
      </c>
    </row>
    <row r="27" spans="1:10">
      <c r="A27" s="7" t="s">
        <v>38</v>
      </c>
      <c r="B27" s="8" t="s">
        <v>44</v>
      </c>
      <c r="C27" s="8" t="s">
        <v>40</v>
      </c>
      <c r="D27" s="9">
        <v>252428.9</v>
      </c>
      <c r="E27" s="9">
        <v>271042.90000000002</v>
      </c>
      <c r="F27" s="9">
        <v>323592.2</v>
      </c>
      <c r="G27" s="9">
        <v>361995.2</v>
      </c>
      <c r="H27" s="9">
        <v>340513.5</v>
      </c>
      <c r="I27" s="9">
        <v>383555.6</v>
      </c>
      <c r="J27" s="10" t="s">
        <v>41</v>
      </c>
    </row>
    <row r="28" spans="1:10">
      <c r="A28" s="7" t="s">
        <v>38</v>
      </c>
      <c r="B28" s="8" t="s">
        <v>45</v>
      </c>
      <c r="C28" s="8" t="s">
        <v>40</v>
      </c>
      <c r="D28" s="9">
        <v>181.1</v>
      </c>
      <c r="E28" s="9">
        <v>150.19999999999999</v>
      </c>
      <c r="F28" s="9">
        <v>89.8</v>
      </c>
      <c r="G28" s="9">
        <v>151.1</v>
      </c>
      <c r="H28" s="9">
        <v>72.900000000000006</v>
      </c>
      <c r="I28" s="9">
        <v>82.4</v>
      </c>
      <c r="J28" s="10" t="s">
        <v>41</v>
      </c>
    </row>
    <row r="29" spans="1:10">
      <c r="A29" s="7" t="s">
        <v>38</v>
      </c>
      <c r="B29" s="8" t="s">
        <v>46</v>
      </c>
      <c r="C29" s="8" t="s">
        <v>40</v>
      </c>
      <c r="D29" s="9">
        <v>3.6</v>
      </c>
      <c r="E29" s="9">
        <v>5.3</v>
      </c>
      <c r="F29" s="9">
        <v>4.8</v>
      </c>
      <c r="G29" s="9">
        <v>5.5</v>
      </c>
      <c r="H29" s="9">
        <v>7.7</v>
      </c>
      <c r="I29" s="9">
        <v>11.3</v>
      </c>
      <c r="J29" s="10" t="s">
        <v>41</v>
      </c>
    </row>
    <row r="30" spans="1:10">
      <c r="A30" s="7" t="s">
        <v>38</v>
      </c>
      <c r="B30" s="8" t="s">
        <v>47</v>
      </c>
      <c r="C30" s="8" t="s">
        <v>40</v>
      </c>
      <c r="D30" s="9">
        <v>1.7</v>
      </c>
      <c r="E30" s="9">
        <v>0</v>
      </c>
      <c r="F30" s="9">
        <v>0.1</v>
      </c>
      <c r="G30" s="9">
        <v>0</v>
      </c>
      <c r="H30" s="9">
        <v>0.1</v>
      </c>
      <c r="I30" s="9">
        <v>0.1</v>
      </c>
      <c r="J30" s="10" t="s">
        <v>41</v>
      </c>
    </row>
    <row r="31" spans="1:10">
      <c r="A31" s="7" t="s">
        <v>38</v>
      </c>
      <c r="B31" s="8" t="s">
        <v>48</v>
      </c>
      <c r="C31" s="8" t="s">
        <v>40</v>
      </c>
      <c r="D31" s="9">
        <v>428.7</v>
      </c>
      <c r="E31" s="9">
        <v>1063.7</v>
      </c>
      <c r="F31" s="9">
        <v>627</v>
      </c>
      <c r="G31" s="9">
        <v>1457.3</v>
      </c>
      <c r="H31" s="9">
        <v>1150.5</v>
      </c>
      <c r="I31" s="9">
        <v>1116.3</v>
      </c>
      <c r="J31" s="10" t="s">
        <v>41</v>
      </c>
    </row>
    <row r="32" spans="1:10">
      <c r="A32" s="7" t="s">
        <v>38</v>
      </c>
      <c r="B32" s="8" t="s">
        <v>49</v>
      </c>
      <c r="C32" s="8" t="s">
        <v>40</v>
      </c>
      <c r="D32" s="9">
        <v>0.5</v>
      </c>
      <c r="E32" s="9">
        <v>0.4</v>
      </c>
      <c r="F32" s="9">
        <v>0.6</v>
      </c>
      <c r="G32" s="9">
        <v>0.3</v>
      </c>
      <c r="H32" s="9">
        <v>0.3</v>
      </c>
      <c r="I32" s="9">
        <v>0.3</v>
      </c>
      <c r="J32" s="10" t="s">
        <v>41</v>
      </c>
    </row>
    <row r="33" spans="1:10">
      <c r="A33" s="7" t="s">
        <v>38</v>
      </c>
      <c r="B33" s="8" t="s">
        <v>50</v>
      </c>
      <c r="C33" s="8" t="s">
        <v>40</v>
      </c>
      <c r="D33" s="9">
        <v>4.3</v>
      </c>
      <c r="E33" s="9">
        <v>4.4000000000000004</v>
      </c>
      <c r="F33" s="9">
        <v>1.3</v>
      </c>
      <c r="G33" s="9">
        <v>1.3</v>
      </c>
      <c r="H33" s="9">
        <v>1.2</v>
      </c>
      <c r="I33" s="9">
        <v>1.8</v>
      </c>
      <c r="J33" s="10" t="s">
        <v>41</v>
      </c>
    </row>
    <row r="34" spans="1:10">
      <c r="A34" s="7" t="s">
        <v>38</v>
      </c>
      <c r="B34" s="8" t="s">
        <v>51</v>
      </c>
      <c r="C34" s="8" t="s">
        <v>40</v>
      </c>
      <c r="D34" s="9">
        <v>649.1</v>
      </c>
      <c r="E34" s="9">
        <v>325.8</v>
      </c>
      <c r="F34" s="9">
        <v>460.1</v>
      </c>
      <c r="G34" s="9">
        <v>602.79999999999995</v>
      </c>
      <c r="H34" s="9">
        <v>977.3</v>
      </c>
      <c r="I34" s="9">
        <v>509.6</v>
      </c>
      <c r="J34" s="10" t="s">
        <v>41</v>
      </c>
    </row>
    <row r="35" spans="1:10">
      <c r="A35" s="7" t="s">
        <v>52</v>
      </c>
      <c r="B35" s="8" t="s">
        <v>53</v>
      </c>
      <c r="C35" s="8" t="s">
        <v>40</v>
      </c>
      <c r="D35" s="9">
        <v>20422</v>
      </c>
      <c r="E35" s="9">
        <v>9843</v>
      </c>
      <c r="F35" s="9">
        <v>7757</v>
      </c>
      <c r="G35" s="9">
        <v>14424</v>
      </c>
      <c r="H35" s="9">
        <v>21387</v>
      </c>
      <c r="I35" s="9">
        <v>25498</v>
      </c>
      <c r="J35" s="10" t="s">
        <v>54</v>
      </c>
    </row>
    <row r="36" spans="1:10">
      <c r="A36" s="7" t="s">
        <v>55</v>
      </c>
      <c r="B36" s="8" t="s">
        <v>56</v>
      </c>
      <c r="C36" s="8" t="s">
        <v>57</v>
      </c>
      <c r="D36" s="9">
        <v>19.899999999999999</v>
      </c>
      <c r="E36" s="9">
        <v>7.6</v>
      </c>
      <c r="F36" s="9">
        <v>5.3</v>
      </c>
      <c r="G36" s="9">
        <v>13.5</v>
      </c>
      <c r="H36" s="9">
        <v>21.4</v>
      </c>
      <c r="I36" s="9">
        <v>25.5</v>
      </c>
      <c r="J36" s="10" t="s">
        <v>58</v>
      </c>
    </row>
    <row r="37" spans="1:10">
      <c r="A37" s="7" t="s">
        <v>55</v>
      </c>
      <c r="B37" s="8" t="s">
        <v>59</v>
      </c>
      <c r="C37" s="8" t="s">
        <v>57</v>
      </c>
      <c r="D37" s="9">
        <v>21.4</v>
      </c>
      <c r="E37" s="9">
        <v>17.899999999999999</v>
      </c>
      <c r="F37" s="9">
        <v>20.7</v>
      </c>
      <c r="G37" s="9">
        <v>27.4</v>
      </c>
      <c r="H37" s="9">
        <v>28.4</v>
      </c>
      <c r="I37" s="9">
        <v>35.6</v>
      </c>
      <c r="J37" s="10" t="s">
        <v>58</v>
      </c>
    </row>
    <row r="38" spans="1:10">
      <c r="A38" s="7" t="s">
        <v>60</v>
      </c>
      <c r="B38" s="8" t="s">
        <v>61</v>
      </c>
      <c r="C38" s="8" t="s">
        <v>62</v>
      </c>
      <c r="D38" s="9"/>
      <c r="E38" s="9"/>
      <c r="F38" s="9">
        <v>8487</v>
      </c>
      <c r="G38" s="9">
        <v>9621</v>
      </c>
      <c r="H38" s="9">
        <v>10320</v>
      </c>
      <c r="I38" s="9">
        <v>11512</v>
      </c>
      <c r="J38" s="10" t="s">
        <v>63</v>
      </c>
    </row>
    <row r="39" spans="1:10">
      <c r="A39" s="7" t="s">
        <v>60</v>
      </c>
      <c r="B39" s="8" t="s">
        <v>64</v>
      </c>
      <c r="C39" s="8" t="s">
        <v>65</v>
      </c>
      <c r="D39" s="9">
        <v>23.0502416666667</v>
      </c>
      <c r="E39" s="9">
        <v>23.208368333333301</v>
      </c>
      <c r="F39" s="9">
        <v>23.159782592592602</v>
      </c>
      <c r="G39" s="9">
        <v>23.271212500000001</v>
      </c>
      <c r="H39" s="9">
        <v>23.787319166666702</v>
      </c>
      <c r="I39" s="9">
        <v>24.164885833333301</v>
      </c>
      <c r="J39" s="10" t="s">
        <v>63</v>
      </c>
    </row>
    <row r="40" spans="1:10">
      <c r="A40" s="7" t="s">
        <v>60</v>
      </c>
      <c r="B40" s="8" t="s">
        <v>66</v>
      </c>
      <c r="C40" s="8" t="s">
        <v>62</v>
      </c>
      <c r="D40" s="9"/>
      <c r="E40" s="9"/>
      <c r="F40" s="9">
        <v>2737</v>
      </c>
      <c r="G40" s="9">
        <v>2361</v>
      </c>
      <c r="H40" s="9">
        <v>2783</v>
      </c>
      <c r="I40" s="9">
        <v>2751</v>
      </c>
      <c r="J40" s="10" t="s">
        <v>63</v>
      </c>
    </row>
    <row r="41" spans="1:10">
      <c r="A41" s="7" t="s">
        <v>60</v>
      </c>
      <c r="B41" s="8" t="s">
        <v>67</v>
      </c>
      <c r="C41" s="8" t="s">
        <v>62</v>
      </c>
      <c r="D41" s="9"/>
      <c r="E41" s="9"/>
      <c r="F41" s="9">
        <v>13402</v>
      </c>
      <c r="G41" s="9">
        <v>14227</v>
      </c>
      <c r="H41" s="9">
        <v>15998</v>
      </c>
      <c r="I41" s="9">
        <v>17915</v>
      </c>
      <c r="J41" s="10" t="s">
        <v>63</v>
      </c>
    </row>
    <row r="42" spans="1:10">
      <c r="A42" s="7" t="s">
        <v>60</v>
      </c>
      <c r="B42" s="8" t="s">
        <v>68</v>
      </c>
      <c r="C42" s="8" t="s">
        <v>62</v>
      </c>
      <c r="D42" s="9"/>
      <c r="E42" s="9"/>
      <c r="F42" s="9">
        <v>312</v>
      </c>
      <c r="G42" s="9">
        <v>80</v>
      </c>
      <c r="H42" s="9">
        <v>80</v>
      </c>
      <c r="I42" s="9">
        <v>134</v>
      </c>
      <c r="J42" s="10" t="s">
        <v>63</v>
      </c>
    </row>
    <row r="43" spans="1:10">
      <c r="A43" s="7" t="s">
        <v>60</v>
      </c>
      <c r="B43" s="8" t="s">
        <v>69</v>
      </c>
      <c r="C43" s="8" t="s">
        <v>62</v>
      </c>
      <c r="D43" s="9"/>
      <c r="E43" s="9"/>
      <c r="F43" s="9">
        <v>443</v>
      </c>
      <c r="G43" s="9">
        <v>425</v>
      </c>
      <c r="H43" s="9">
        <v>457</v>
      </c>
      <c r="I43" s="9">
        <v>527</v>
      </c>
      <c r="J43" s="10" t="s">
        <v>63</v>
      </c>
    </row>
    <row r="44" spans="1:10">
      <c r="A44" s="7" t="s">
        <v>60</v>
      </c>
      <c r="B44" s="8" t="s">
        <v>70</v>
      </c>
      <c r="C44" s="8" t="s">
        <v>62</v>
      </c>
      <c r="D44" s="9"/>
      <c r="E44" s="9"/>
      <c r="F44" s="9">
        <v>10105</v>
      </c>
      <c r="G44" s="9">
        <v>11599</v>
      </c>
      <c r="H44" s="9">
        <v>13212</v>
      </c>
      <c r="I44" s="9">
        <v>15179</v>
      </c>
      <c r="J44" s="10" t="s">
        <v>63</v>
      </c>
    </row>
    <row r="45" spans="1:10">
      <c r="A45" s="7" t="s">
        <v>60</v>
      </c>
      <c r="B45" s="8" t="s">
        <v>71</v>
      </c>
      <c r="C45" s="8" t="s">
        <v>62</v>
      </c>
      <c r="D45" s="9"/>
      <c r="E45" s="9"/>
      <c r="F45" s="9">
        <v>-195</v>
      </c>
      <c r="G45" s="9">
        <v>-238</v>
      </c>
      <c r="H45" s="9">
        <v>-534</v>
      </c>
      <c r="I45" s="9">
        <v>-676</v>
      </c>
      <c r="J45" s="10" t="s">
        <v>63</v>
      </c>
    </row>
    <row r="46" spans="1:10">
      <c r="A46" s="7" t="s">
        <v>60</v>
      </c>
      <c r="B46" s="8" t="s">
        <v>72</v>
      </c>
      <c r="C46" s="8" t="s">
        <v>62</v>
      </c>
      <c r="D46" s="9"/>
      <c r="E46" s="9"/>
      <c r="F46" s="9">
        <v>110.3</v>
      </c>
      <c r="G46" s="9">
        <v>153.9</v>
      </c>
      <c r="H46" s="9">
        <v>206.4</v>
      </c>
      <c r="I46" s="9">
        <v>172.7</v>
      </c>
      <c r="J46" s="10" t="s">
        <v>63</v>
      </c>
    </row>
    <row r="47" spans="1:10">
      <c r="A47" s="7" t="s">
        <v>60</v>
      </c>
      <c r="B47" s="8" t="s">
        <v>73</v>
      </c>
      <c r="C47" s="8" t="s">
        <v>57</v>
      </c>
      <c r="D47" s="9"/>
      <c r="E47" s="9"/>
      <c r="F47" s="9">
        <v>109.4</v>
      </c>
      <c r="G47" s="9">
        <v>86.7</v>
      </c>
      <c r="H47" s="9">
        <v>92.3</v>
      </c>
      <c r="I47" s="9">
        <v>83.1</v>
      </c>
      <c r="J47" s="10" t="s">
        <v>63</v>
      </c>
    </row>
    <row r="48" spans="1:10">
      <c r="A48" s="7" t="s">
        <v>60</v>
      </c>
      <c r="B48" s="8" t="s">
        <v>74</v>
      </c>
      <c r="C48" s="8" t="s">
        <v>57</v>
      </c>
      <c r="D48" s="9"/>
      <c r="E48" s="9"/>
      <c r="F48" s="9">
        <v>14.3</v>
      </c>
      <c r="G48" s="9">
        <v>-22.7</v>
      </c>
      <c r="H48" s="9">
        <v>5.6</v>
      </c>
      <c r="I48" s="9">
        <v>-9.1999999999999993</v>
      </c>
      <c r="J48" s="10" t="s">
        <v>63</v>
      </c>
    </row>
    <row r="49" spans="1:10">
      <c r="A49" s="7" t="s">
        <v>60</v>
      </c>
      <c r="B49" s="8" t="s">
        <v>75</v>
      </c>
      <c r="C49" s="8" t="s">
        <v>57</v>
      </c>
      <c r="D49" s="9"/>
      <c r="E49" s="9"/>
      <c r="F49" s="9">
        <v>15.7</v>
      </c>
      <c r="G49" s="9">
        <v>17.899999999999999</v>
      </c>
      <c r="H49" s="9">
        <v>18.5</v>
      </c>
      <c r="I49" s="9">
        <v>20.2</v>
      </c>
      <c r="J49" s="10" t="s">
        <v>63</v>
      </c>
    </row>
    <row r="50" spans="1:10">
      <c r="A50" s="7" t="s">
        <v>76</v>
      </c>
      <c r="B50" s="8" t="s">
        <v>77</v>
      </c>
      <c r="C50" s="8" t="s">
        <v>57</v>
      </c>
      <c r="D50" s="9"/>
      <c r="E50" s="9"/>
      <c r="F50" s="9">
        <v>336.2</v>
      </c>
      <c r="G50" s="9">
        <v>371.7</v>
      </c>
      <c r="H50" s="9">
        <v>354.7</v>
      </c>
      <c r="I50" s="9">
        <v>405.9</v>
      </c>
      <c r="J50" s="10" t="s">
        <v>78</v>
      </c>
    </row>
    <row r="51" spans="1:10">
      <c r="A51" s="7" t="s">
        <v>76</v>
      </c>
      <c r="B51" s="8" t="s">
        <v>79</v>
      </c>
      <c r="C51" s="8" t="s">
        <v>57</v>
      </c>
      <c r="D51" s="9"/>
      <c r="E51" s="9"/>
      <c r="F51" s="9">
        <v>320.5</v>
      </c>
      <c r="G51" s="9">
        <v>342.3</v>
      </c>
      <c r="H51" s="9">
        <v>310.7</v>
      </c>
      <c r="I51" s="9">
        <v>362.7</v>
      </c>
      <c r="J51" s="10" t="s">
        <v>78</v>
      </c>
    </row>
    <row r="52" spans="1:10">
      <c r="A52" s="7" t="s">
        <v>80</v>
      </c>
      <c r="B52" s="8" t="s">
        <v>81</v>
      </c>
      <c r="C52" s="8" t="s">
        <v>82</v>
      </c>
      <c r="D52" s="11"/>
      <c r="E52" s="11"/>
      <c r="F52" s="9">
        <v>18.5</v>
      </c>
      <c r="G52" s="9">
        <v>18.799999999999997</v>
      </c>
      <c r="H52" s="9">
        <v>17.100000000000001</v>
      </c>
      <c r="I52" s="9">
        <v>17.600000000000001</v>
      </c>
      <c r="J52" s="10" t="s">
        <v>83</v>
      </c>
    </row>
    <row r="53" spans="1:10">
      <c r="A53" s="7" t="s">
        <v>80</v>
      </c>
      <c r="B53" s="8" t="s">
        <v>84</v>
      </c>
      <c r="C53" s="8" t="s">
        <v>82</v>
      </c>
      <c r="D53" s="11"/>
      <c r="E53" s="11"/>
      <c r="F53" s="9">
        <v>0.2</v>
      </c>
      <c r="G53" s="9">
        <v>0.1</v>
      </c>
      <c r="H53" s="9">
        <v>0</v>
      </c>
      <c r="I53" s="9">
        <v>0</v>
      </c>
      <c r="J53" s="10" t="s">
        <v>83</v>
      </c>
    </row>
    <row r="54" spans="1:10">
      <c r="A54" s="7" t="s">
        <v>80</v>
      </c>
      <c r="B54" s="8" t="s">
        <v>85</v>
      </c>
      <c r="C54" s="8" t="s">
        <v>82</v>
      </c>
      <c r="D54" s="11"/>
      <c r="E54" s="11"/>
      <c r="F54" s="9">
        <v>12.700000000000001</v>
      </c>
      <c r="G54" s="9">
        <v>10.9</v>
      </c>
      <c r="H54" s="9">
        <v>11</v>
      </c>
      <c r="I54" s="9">
        <v>12.299999999999999</v>
      </c>
      <c r="J54" s="10" t="s">
        <v>83</v>
      </c>
    </row>
    <row r="55" spans="1:10">
      <c r="A55" s="7" t="s">
        <v>80</v>
      </c>
      <c r="B55" s="8" t="s">
        <v>86</v>
      </c>
      <c r="C55" s="8" t="s">
        <v>82</v>
      </c>
      <c r="D55" s="11"/>
      <c r="E55" s="11"/>
      <c r="F55" s="9">
        <v>1.2</v>
      </c>
      <c r="G55" s="9">
        <v>1</v>
      </c>
      <c r="H55" s="9">
        <v>0.9</v>
      </c>
      <c r="I55" s="9">
        <v>0.9</v>
      </c>
      <c r="J55" s="10" t="s">
        <v>83</v>
      </c>
    </row>
    <row r="56" spans="1:10">
      <c r="A56" s="7" t="s">
        <v>80</v>
      </c>
      <c r="B56" s="8" t="s">
        <v>87</v>
      </c>
      <c r="C56" s="8" t="s">
        <v>82</v>
      </c>
      <c r="D56" s="11"/>
      <c r="E56" s="11"/>
      <c r="F56" s="9">
        <v>6.2</v>
      </c>
      <c r="G56" s="9">
        <v>6.3</v>
      </c>
      <c r="H56" s="9">
        <v>6.8</v>
      </c>
      <c r="I56" s="9">
        <v>5.9</v>
      </c>
      <c r="J56" s="10" t="s">
        <v>83</v>
      </c>
    </row>
    <row r="57" spans="1:10">
      <c r="A57" s="7" t="s">
        <v>80</v>
      </c>
      <c r="B57" s="8" t="s">
        <v>88</v>
      </c>
      <c r="C57" s="8" t="s">
        <v>82</v>
      </c>
      <c r="D57" s="11"/>
      <c r="E57" s="11"/>
      <c r="F57" s="9">
        <v>-1.4</v>
      </c>
      <c r="G57" s="9">
        <v>0.7</v>
      </c>
      <c r="H57" s="9">
        <v>-1.7</v>
      </c>
      <c r="I57" s="9">
        <v>-1.5</v>
      </c>
      <c r="J57" s="10" t="s">
        <v>83</v>
      </c>
    </row>
    <row r="58" spans="1:10">
      <c r="A58" s="7" t="s">
        <v>80</v>
      </c>
      <c r="B58" s="8" t="s">
        <v>89</v>
      </c>
      <c r="C58" s="8" t="s">
        <v>57</v>
      </c>
      <c r="D58" s="11"/>
      <c r="E58" s="11"/>
      <c r="F58" s="9">
        <v>-8.1</v>
      </c>
      <c r="G58" s="9">
        <v>1.4</v>
      </c>
      <c r="H58" s="9">
        <v>27.6</v>
      </c>
      <c r="I58" s="9">
        <v>30.5</v>
      </c>
      <c r="J58" s="10" t="s">
        <v>83</v>
      </c>
    </row>
    <row r="59" spans="1:10">
      <c r="A59" s="7" t="s">
        <v>80</v>
      </c>
      <c r="B59" s="8" t="s">
        <v>90</v>
      </c>
      <c r="C59" s="8" t="s">
        <v>57</v>
      </c>
      <c r="D59" s="11"/>
      <c r="E59" s="11"/>
      <c r="F59" s="9">
        <v>0.7</v>
      </c>
      <c r="G59" s="9">
        <v>0.6</v>
      </c>
      <c r="H59" s="9">
        <v>0.8</v>
      </c>
      <c r="I59" s="9">
        <v>0.9</v>
      </c>
      <c r="J59" s="10" t="s">
        <v>83</v>
      </c>
    </row>
    <row r="60" spans="1:10">
      <c r="A60" s="7" t="s">
        <v>80</v>
      </c>
      <c r="B60" s="8" t="s">
        <v>91</v>
      </c>
      <c r="C60" s="8" t="s">
        <v>57</v>
      </c>
      <c r="D60" s="11"/>
      <c r="E60" s="11"/>
      <c r="F60" s="9">
        <v>9.6</v>
      </c>
      <c r="G60" s="9">
        <v>5</v>
      </c>
      <c r="H60" s="9">
        <v>12.2</v>
      </c>
      <c r="I60" s="9">
        <v>12.2</v>
      </c>
      <c r="J60" s="10" t="s">
        <v>83</v>
      </c>
    </row>
    <row r="61" spans="1:10">
      <c r="A61" s="7" t="s">
        <v>80</v>
      </c>
      <c r="B61" s="8" t="s">
        <v>92</v>
      </c>
      <c r="C61" s="8" t="s">
        <v>57</v>
      </c>
      <c r="D61" s="11"/>
      <c r="E61" s="11"/>
      <c r="F61" s="9">
        <v>1</v>
      </c>
      <c r="G61" s="9">
        <v>2.2999999999999998</v>
      </c>
      <c r="H61" s="9">
        <v>4.5999999999999996</v>
      </c>
      <c r="I61" s="9">
        <v>5.5</v>
      </c>
      <c r="J61" s="10" t="s">
        <v>83</v>
      </c>
    </row>
    <row r="62" spans="1:10">
      <c r="A62" s="7" t="s">
        <v>80</v>
      </c>
      <c r="B62" s="8" t="s">
        <v>93</v>
      </c>
      <c r="C62" s="8" t="s">
        <v>57</v>
      </c>
      <c r="D62" s="11"/>
      <c r="E62" s="11"/>
      <c r="F62" s="9">
        <v>19.7</v>
      </c>
      <c r="G62" s="9">
        <v>22</v>
      </c>
      <c r="H62" s="9">
        <v>27</v>
      </c>
      <c r="I62" s="9">
        <v>21.2</v>
      </c>
      <c r="J62" s="10" t="s">
        <v>83</v>
      </c>
    </row>
    <row r="63" spans="1:10">
      <c r="A63" s="7" t="s">
        <v>80</v>
      </c>
      <c r="B63" s="8" t="s">
        <v>94</v>
      </c>
      <c r="C63" s="8" t="s">
        <v>57</v>
      </c>
      <c r="D63" s="11"/>
      <c r="E63" s="11"/>
      <c r="F63" s="9">
        <v>1.9749300000000001</v>
      </c>
      <c r="G63" s="9">
        <v>2.8579400000000001</v>
      </c>
      <c r="H63" s="9">
        <v>5.6686800000000002</v>
      </c>
      <c r="I63" s="9">
        <v>4.7993100000000002</v>
      </c>
      <c r="J63" s="10" t="s">
        <v>83</v>
      </c>
    </row>
    <row r="64" spans="1:10">
      <c r="A64" s="7" t="s">
        <v>80</v>
      </c>
      <c r="B64" s="8" t="s">
        <v>95</v>
      </c>
      <c r="C64" s="8" t="s">
        <v>57</v>
      </c>
      <c r="D64" s="11"/>
      <c r="E64" s="11"/>
      <c r="F64" s="9">
        <v>15.3</v>
      </c>
      <c r="G64" s="9">
        <v>15.2</v>
      </c>
      <c r="H64" s="9">
        <v>20.100000000000001</v>
      </c>
      <c r="I64" s="9">
        <v>19.7</v>
      </c>
      <c r="J64" s="10" t="s">
        <v>83</v>
      </c>
    </row>
    <row r="65" spans="1:10">
      <c r="A65" s="7" t="s">
        <v>80</v>
      </c>
      <c r="B65" s="8" t="s">
        <v>96</v>
      </c>
      <c r="C65" s="8" t="s">
        <v>57</v>
      </c>
      <c r="D65" s="11"/>
      <c r="E65" s="11"/>
      <c r="F65" s="9">
        <v>15.7</v>
      </c>
      <c r="G65" s="9">
        <v>17.899999999999999</v>
      </c>
      <c r="H65" s="9">
        <v>18.5</v>
      </c>
      <c r="I65" s="9">
        <v>20.2</v>
      </c>
      <c r="J65" s="10" t="s">
        <v>83</v>
      </c>
    </row>
    <row r="66" spans="1:10">
      <c r="A66" s="7" t="s">
        <v>80</v>
      </c>
      <c r="B66" s="8" t="s">
        <v>97</v>
      </c>
      <c r="C66" s="8" t="s">
        <v>57</v>
      </c>
      <c r="D66" s="11"/>
      <c r="E66" s="11"/>
      <c r="F66" s="9">
        <v>0.3</v>
      </c>
      <c r="G66" s="9">
        <v>1.5</v>
      </c>
      <c r="H66" s="9">
        <v>-1.2</v>
      </c>
      <c r="I66" s="9">
        <v>-5.7</v>
      </c>
      <c r="J66" s="10" t="s">
        <v>83</v>
      </c>
    </row>
    <row r="67" spans="1:10">
      <c r="A67" s="7" t="s">
        <v>80</v>
      </c>
      <c r="B67" s="8" t="s">
        <v>98</v>
      </c>
      <c r="C67" s="8" t="s">
        <v>57</v>
      </c>
      <c r="D67" s="11"/>
      <c r="E67" s="11"/>
      <c r="F67" s="9">
        <v>-8.4</v>
      </c>
      <c r="G67" s="9">
        <v>-33.6</v>
      </c>
      <c r="H67" s="9">
        <v>-19.100000000000001</v>
      </c>
      <c r="I67" s="9">
        <v>-31.8</v>
      </c>
      <c r="J67" s="10" t="s">
        <v>83</v>
      </c>
    </row>
    <row r="68" spans="1:10">
      <c r="A68" s="7" t="s">
        <v>99</v>
      </c>
      <c r="B68" s="8" t="s">
        <v>100</v>
      </c>
      <c r="C68" s="8" t="s">
        <v>82</v>
      </c>
      <c r="D68" s="11"/>
      <c r="E68" s="11"/>
      <c r="F68" s="9">
        <v>39.200000000000003</v>
      </c>
      <c r="G68" s="9">
        <v>34.9</v>
      </c>
      <c r="H68" s="9">
        <v>34.299999999999997</v>
      </c>
      <c r="I68" s="9">
        <v>31.3</v>
      </c>
      <c r="J68" s="10" t="s">
        <v>101</v>
      </c>
    </row>
    <row r="69" spans="1:10">
      <c r="A69" s="7" t="s">
        <v>99</v>
      </c>
      <c r="B69" s="8" t="s">
        <v>102</v>
      </c>
      <c r="C69" s="8" t="s">
        <v>82</v>
      </c>
      <c r="D69" s="11"/>
      <c r="E69" s="11"/>
      <c r="F69" s="9">
        <v>37.9</v>
      </c>
      <c r="G69" s="9">
        <v>35.299999999999997</v>
      </c>
      <c r="H69" s="9">
        <v>32.1</v>
      </c>
      <c r="I69" s="9">
        <v>28</v>
      </c>
      <c r="J69" s="10" t="s">
        <v>78</v>
      </c>
    </row>
    <row r="70" spans="1:10">
      <c r="A70" s="7" t="s">
        <v>103</v>
      </c>
      <c r="B70" s="8" t="s">
        <v>104</v>
      </c>
      <c r="C70" s="8" t="s">
        <v>40</v>
      </c>
      <c r="D70" s="11"/>
      <c r="E70" s="11"/>
      <c r="F70" s="9">
        <v>627.1</v>
      </c>
      <c r="G70" s="9">
        <v>621.37</v>
      </c>
      <c r="H70" s="9">
        <v>822.54</v>
      </c>
      <c r="I70" s="9">
        <v>822.97</v>
      </c>
      <c r="J70" s="10" t="s">
        <v>105</v>
      </c>
    </row>
    <row r="71" spans="1:10">
      <c r="A71" s="7" t="s">
        <v>103</v>
      </c>
      <c r="B71" s="8" t="s">
        <v>106</v>
      </c>
      <c r="C71" s="8" t="s">
        <v>40</v>
      </c>
      <c r="D71" s="11"/>
      <c r="E71" s="11"/>
      <c r="F71" s="9">
        <v>1347.78</v>
      </c>
      <c r="G71" s="9">
        <v>2236.5700000000002</v>
      </c>
      <c r="H71" s="9">
        <v>4846.1400000000003</v>
      </c>
      <c r="I71" s="9">
        <v>3976.34</v>
      </c>
      <c r="J71" s="10" t="s">
        <v>105</v>
      </c>
    </row>
    <row r="72" spans="1:10">
      <c r="A72" s="7" t="s">
        <v>60</v>
      </c>
      <c r="B72" s="8" t="s">
        <v>107</v>
      </c>
      <c r="C72" s="8" t="s">
        <v>108</v>
      </c>
      <c r="D72" s="11"/>
      <c r="E72" s="11"/>
      <c r="F72" s="9">
        <v>41.7</v>
      </c>
      <c r="G72" s="9">
        <v>40.5</v>
      </c>
      <c r="H72" s="9">
        <v>39.6</v>
      </c>
      <c r="I72" s="9">
        <v>38.700000000000003</v>
      </c>
      <c r="J72" s="10" t="s">
        <v>109</v>
      </c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2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2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2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2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2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2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2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2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2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2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2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2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2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2"/>
      <c r="B88" s="1"/>
      <c r="C88" s="1"/>
      <c r="D88" s="1"/>
      <c r="E88" s="1"/>
      <c r="F88" s="1"/>
      <c r="G88" s="1"/>
      <c r="H88" s="1"/>
      <c r="I88" s="1"/>
      <c r="J88" s="1"/>
    </row>
  </sheetData>
  <phoneticPr fontId="2" type="noConversion"/>
  <conditionalFormatting sqref="A1:J1048576">
    <cfRule type="expression" dxfId="3" priority="1">
      <formula>MOD(ROW(),2)=0</formula>
    </cfRule>
    <cfRule type="expression" dxfId="2" priority="3">
      <formula>"MOD(ROW(),2)=0"</formula>
    </cfRule>
  </conditionalFormatting>
  <conditionalFormatting sqref="A4:J72">
    <cfRule type="expression" dxfId="1" priority="2">
      <formula>"MOD(ROW(),2)=0"</formula>
    </cfRule>
  </conditionalFormatting>
  <conditionalFormatting sqref="D5:I71">
    <cfRule type="cellIs" dxfId="0" priority="5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Wenzel Pedersen</dc:creator>
  <cp:lastModifiedBy>Jonathan Wenzel Pedersen</cp:lastModifiedBy>
  <dcterms:created xsi:type="dcterms:W3CDTF">2026-07-07T22:02:25Z</dcterms:created>
  <dcterms:modified xsi:type="dcterms:W3CDTF">2026-07-09T17:59:26Z</dcterms:modified>
</cp:coreProperties>
</file>